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nitin\Desktop\WSS\Equipment work\15 K PTS halliburtin\CIE\Data acquisition system\Software development Rohit\"/>
    </mc:Choice>
  </mc:AlternateContent>
  <xr:revisionPtr revIDLastSave="0" documentId="13_ncr:1_{C53FC3D5-ECB1-4975-9050-E112CF351AF5}" xr6:coauthVersionLast="47" xr6:coauthVersionMax="47" xr10:uidLastSave="{00000000-0000-0000-0000-000000000000}"/>
  <bookViews>
    <workbookView xWindow="28680" yWindow="-120" windowWidth="29040" windowHeight="15720" firstSheet="1" activeTab="1" xr2:uid="{00000000-000D-0000-FFFF-FFFF00000000}"/>
  </bookViews>
  <sheets>
    <sheet name="OW-Update" sheetId="26" state="hidden" r:id="rId1"/>
    <sheet name="Data Sheet" sheetId="32" r:id="rId2"/>
    <sheet name="Sheet1" sheetId="34" r:id="rId3"/>
    <sheet name="surge tank." sheetId="33" state="hidden" r:id="rId4"/>
    <sheet name="Surge Tank" sheetId="31" state="hidden" r:id="rId5"/>
    <sheet name="Legand" sheetId="25" state="hidden" r:id="rId6"/>
  </sheets>
  <functionGroups builtInGroupCount="19"/>
  <externalReferences>
    <externalReference r:id="rId7"/>
    <externalReference r:id="rId8"/>
    <externalReference r:id="rId9"/>
    <externalReference r:id="rId10"/>
    <externalReference r:id="rId11"/>
    <externalReference r:id="rId12"/>
  </externalReferences>
  <definedNames>
    <definedName name="_xlnm._FilterDatabase" localSheetId="0" hidden="1">'OW-Update'!$A$2:$M$2</definedName>
    <definedName name="_gas1013">'[1]calculo de gas Total'!#REF!</definedName>
    <definedName name="_GAS1016">'[2]calculo de gas Total'!#REF!</definedName>
    <definedName name="_GAS1017">'[2]calculo de gas Total'!#REF!</definedName>
    <definedName name="_GAS1101">'[2]calculo de gas Total'!#REF!</definedName>
    <definedName name="_GAS1102">'[2]calculo de gas Total'!#REF!</definedName>
    <definedName name="_GAS1200">'[2]calculo de gas Total'!#REF!</definedName>
    <definedName name="_GAS1201">'[2]calculo de gas Total'!#REF!</definedName>
    <definedName name="_GAS1401">'[2]calculo de gas Total'!#REF!</definedName>
    <definedName name="_GAS1611">'[2]calculo de gas Total'!#REF!</definedName>
    <definedName name="_GAS1612">'[2]calculo de gas Total'!#REF!</definedName>
    <definedName name="_GAS1706">'[2]calculo de gas Total'!#REF!</definedName>
    <definedName name="_GAS1707">'[2]calculo de gas Total'!#REF!</definedName>
    <definedName name="_GAS1751">'[2]calculo de gas Total'!#REF!</definedName>
    <definedName name="_GAS1773">'[2]calculo de gas Total'!#REF!</definedName>
    <definedName name="_gas2020">'[1]calculo de gas Total'!#REF!</definedName>
    <definedName name="_gas6969">'[1]calculo de gas Total'!#REF!</definedName>
    <definedName name="_GAS7117">'[2]calculo de gas Total'!#REF!</definedName>
    <definedName name="_GAS7118">'[2]calculo de gas Total'!#REF!</definedName>
    <definedName name="_gs243">'[3]calculo de gas Total'!#REF!</definedName>
    <definedName name="_REG1773">'[2]calculo de gas Total'!#REF!</definedName>
    <definedName name="CodeList">Legand!$J$3:$J$8</definedName>
    <definedName name="DAR">'[3]calculo de gas Total'!#REF!</definedName>
    <definedName name="emilia">'[1]calculo de gas Total'!#REF!</definedName>
    <definedName name="Event_selection">#REF!</definedName>
    <definedName name="gas">'[1]calculo de gas Total'!#REF!</definedName>
    <definedName name="List24">Legand!$I$15:$I$33</definedName>
    <definedName name="List85">Legand!$I$3:$I$8</definedName>
    <definedName name="List86">Legand!$I$9:$I$14</definedName>
    <definedName name="List87">Legand!$I$34:$I$44</definedName>
    <definedName name="List88">Legand!$I$45:$I$46</definedName>
    <definedName name="List89">Legand!$I$47:$I$48</definedName>
    <definedName name="_xlnm.Print_Titles" localSheetId="1">'Data Sheet'!$1:$7</definedName>
    <definedName name="RD">#REF!</definedName>
    <definedName name="RE">'[4]calculo de gas Total'!#REF!</definedName>
    <definedName name="RU">#REF!</definedName>
    <definedName name="RUp">#REF!</definedName>
    <definedName name="Sb">#REF!</definedName>
    <definedName name="selection" comment="This is the range defined for vlookup">#REF!</definedName>
    <definedName name="SSS">[5]Legand!$J$3:$J$8</definedName>
    <definedName name="TANQUES">#REF!</definedName>
    <definedName name="Time_1__Time_2">'[6]K Factor'!#REF!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10" i="32" l="1"/>
  <c r="AP11" i="32"/>
  <c r="AP12" i="32"/>
  <c r="AP13" i="32"/>
  <c r="AP14" i="32"/>
  <c r="AP15" i="32"/>
  <c r="AP9" i="32"/>
  <c r="AG10" i="32"/>
  <c r="AU10" i="32" s="1"/>
  <c r="AG11" i="32"/>
  <c r="AG12" i="32"/>
  <c r="AG13" i="32"/>
  <c r="AG14" i="32"/>
  <c r="AU14" i="32" s="1"/>
  <c r="AG15" i="32"/>
  <c r="AG9" i="32"/>
  <c r="Z10" i="32"/>
  <c r="Z11" i="32"/>
  <c r="Z12" i="32"/>
  <c r="Z13" i="32"/>
  <c r="Z14" i="32"/>
  <c r="Z15" i="32"/>
  <c r="Z9" i="32"/>
  <c r="BW40" i="32"/>
  <c r="BW36" i="32"/>
  <c r="BW35" i="32"/>
  <c r="BK9" i="32"/>
  <c r="BM9" i="32" s="1"/>
  <c r="BK10" i="32"/>
  <c r="BM10" i="32" s="1"/>
  <c r="BK11" i="32"/>
  <c r="BM11" i="32" s="1"/>
  <c r="BK12" i="32"/>
  <c r="BM12" i="32" s="1"/>
  <c r="BK13" i="32"/>
  <c r="BM13" i="32" s="1"/>
  <c r="BK14" i="32"/>
  <c r="BM14" i="32" s="1"/>
  <c r="BK8" i="32"/>
  <c r="BM8" i="32" s="1"/>
  <c r="BJ9" i="32"/>
  <c r="BJ10" i="32"/>
  <c r="BJ11" i="32"/>
  <c r="BJ12" i="32"/>
  <c r="BJ13" i="32"/>
  <c r="BJ14" i="32"/>
  <c r="BH9" i="32"/>
  <c r="BH10" i="32"/>
  <c r="BH11" i="32"/>
  <c r="BH12" i="32"/>
  <c r="BH13" i="32"/>
  <c r="BH14" i="32"/>
  <c r="BH8" i="32"/>
  <c r="BE9" i="32"/>
  <c r="BE10" i="32"/>
  <c r="BE11" i="32"/>
  <c r="BE12" i="32"/>
  <c r="BE13" i="32"/>
  <c r="BE14" i="32"/>
  <c r="BE8" i="32"/>
  <c r="BC9" i="32"/>
  <c r="BL9" i="32" s="1"/>
  <c r="BN9" i="32" s="1"/>
  <c r="BC10" i="32"/>
  <c r="BF10" i="32" s="1"/>
  <c r="BI10" i="32" s="1"/>
  <c r="BC11" i="32"/>
  <c r="BL11" i="32" s="1"/>
  <c r="BN11" i="32" s="1"/>
  <c r="BC12" i="32"/>
  <c r="BL12" i="32" s="1"/>
  <c r="BN12" i="32" s="1"/>
  <c r="BC13" i="32"/>
  <c r="BL13" i="32" s="1"/>
  <c r="BN13" i="32" s="1"/>
  <c r="BC14" i="32"/>
  <c r="BF14" i="32" s="1"/>
  <c r="BI14" i="32" s="1"/>
  <c r="BC8" i="32"/>
  <c r="BF8" i="32" s="1"/>
  <c r="BI8" i="32" s="1"/>
  <c r="AZ8" i="32"/>
  <c r="AW8" i="32"/>
  <c r="AV9" i="32"/>
  <c r="AV10" i="32"/>
  <c r="AV11" i="32"/>
  <c r="AV12" i="32"/>
  <c r="AV13" i="32"/>
  <c r="AV14" i="32"/>
  <c r="AV15" i="32"/>
  <c r="AV8" i="32"/>
  <c r="AU9" i="32"/>
  <c r="AU11" i="32"/>
  <c r="AU12" i="32"/>
  <c r="AM9" i="32"/>
  <c r="AM10" i="32"/>
  <c r="AM11" i="32"/>
  <c r="AM12" i="32"/>
  <c r="AM13" i="32"/>
  <c r="AM14" i="32"/>
  <c r="AM15" i="32"/>
  <c r="AM8" i="32"/>
  <c r="U8" i="32"/>
  <c r="BJ8" i="32" s="1"/>
  <c r="T9" i="32"/>
  <c r="T10" i="32"/>
  <c r="T11" i="32"/>
  <c r="T12" i="32"/>
  <c r="T13" i="32"/>
  <c r="T14" i="32"/>
  <c r="T15" i="32"/>
  <c r="T8" i="32"/>
  <c r="S9" i="32"/>
  <c r="S10" i="32"/>
  <c r="S11" i="32"/>
  <c r="S12" i="32"/>
  <c r="S13" i="32"/>
  <c r="S14" i="32"/>
  <c r="S15" i="32"/>
  <c r="S8" i="32"/>
  <c r="Q9" i="32"/>
  <c r="R9" i="32" s="1"/>
  <c r="Q10" i="32"/>
  <c r="R10" i="32" s="1"/>
  <c r="Q11" i="32"/>
  <c r="R11" i="32" s="1"/>
  <c r="Q12" i="32"/>
  <c r="R12" i="32" s="1"/>
  <c r="Q13" i="32"/>
  <c r="R13" i="32" s="1"/>
  <c r="Q14" i="32"/>
  <c r="R14" i="32" s="1"/>
  <c r="Q15" i="32"/>
  <c r="R15" i="32" s="1"/>
  <c r="Q8" i="32"/>
  <c r="R8" i="32" s="1"/>
  <c r="I9" i="32"/>
  <c r="K9" i="32" s="1"/>
  <c r="L9" i="32" s="1"/>
  <c r="I10" i="32"/>
  <c r="K10" i="32" s="1"/>
  <c r="L10" i="32" s="1"/>
  <c r="I11" i="32"/>
  <c r="K11" i="32" s="1"/>
  <c r="L11" i="32" s="1"/>
  <c r="I12" i="32"/>
  <c r="K12" i="32" s="1"/>
  <c r="L12" i="32" s="1"/>
  <c r="I13" i="32"/>
  <c r="K13" i="32" s="1"/>
  <c r="L13" i="32" s="1"/>
  <c r="I14" i="32"/>
  <c r="K14" i="32" s="1"/>
  <c r="L14" i="32" s="1"/>
  <c r="I15" i="32"/>
  <c r="K15" i="32" s="1"/>
  <c r="L15" i="32" s="1"/>
  <c r="I8" i="32"/>
  <c r="K8" i="32" s="1"/>
  <c r="L8" i="32" s="1"/>
  <c r="AW7" i="32"/>
  <c r="AU15" i="32" l="1"/>
  <c r="AU13" i="32"/>
  <c r="BF9" i="32"/>
  <c r="BI9" i="32" s="1"/>
  <c r="BF11" i="32"/>
  <c r="BI11" i="32" s="1"/>
  <c r="BL14" i="32"/>
  <c r="BN14" i="32" s="1"/>
  <c r="BL8" i="32"/>
  <c r="BN8" i="32" s="1"/>
  <c r="BF12" i="32"/>
  <c r="BI12" i="32" s="1"/>
  <c r="BL10" i="32"/>
  <c r="BN10" i="32" s="1"/>
  <c r="BF13" i="32"/>
  <c r="BI13" i="32" s="1"/>
  <c r="I48" i="25" l="1"/>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4" i="25"/>
  <c r="I3" i="25"/>
  <c r="F7" i="33"/>
  <c r="D7" i="33"/>
  <c r="F20" i="26"/>
  <c r="E20" i="26"/>
  <c r="F19" i="26"/>
  <c r="E19" i="26"/>
  <c r="F18" i="26"/>
  <c r="E18" i="26"/>
  <c r="F17" i="26"/>
  <c r="E17" i="26"/>
  <c r="F16" i="26"/>
  <c r="E16" i="26"/>
  <c r="F15" i="26"/>
  <c r="E15" i="26"/>
  <c r="F14" i="26"/>
  <c r="E14" i="26"/>
  <c r="F13" i="26"/>
  <c r="E13" i="26"/>
  <c r="F12" i="26"/>
  <c r="E12" i="26"/>
  <c r="F11" i="26"/>
  <c r="E11" i="26"/>
  <c r="F10" i="26"/>
  <c r="E10" i="26"/>
  <c r="F9" i="26"/>
  <c r="E9" i="26"/>
  <c r="F8" i="26"/>
  <c r="E8" i="26"/>
  <c r="F7" i="26"/>
  <c r="E7" i="26"/>
  <c r="F6" i="26"/>
  <c r="E6" i="26"/>
  <c r="F5" i="26"/>
  <c r="E5" i="26"/>
  <c r="F4" i="26"/>
  <c r="E4" i="26"/>
  <c r="F3" i="26"/>
  <c r="E3" i="26"/>
  <c r="F2" i="26"/>
  <c r="E2" i="26"/>
  <c r="L7" i="33" l="1"/>
  <c r="G7" i="33"/>
  <c r="H7" i="33"/>
  <c r="J7" i="33"/>
  <c r="K7" i="33" s="1"/>
  <c r="M7" i="33" l="1"/>
  <c r="N7" i="33" l="1"/>
  <c r="O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21" authorId="0" shapeId="0" xr:uid="{00000000-0006-0000-0400-000001000000}">
      <text>
        <r>
          <rPr>
            <b/>
            <sz val="9"/>
            <color indexed="81"/>
            <rFont val="Tahoma"/>
            <family val="2"/>
          </rPr>
          <t>Author:</t>
        </r>
        <r>
          <rPr>
            <sz val="9"/>
            <color indexed="81"/>
            <rFont val="Tahoma"/>
            <family val="2"/>
          </rPr>
          <t xml:space="preserve">
Crane/Hydra/Chopper/Vessel/Trailer/Scaffolding</t>
        </r>
      </text>
    </comment>
  </commentList>
</comments>
</file>

<file path=xl/sharedStrings.xml><?xml version="1.0" encoding="utf-8"?>
<sst xmlns="http://schemas.openxmlformats.org/spreadsheetml/2006/main" count="804" uniqueCount="360">
  <si>
    <t>From</t>
  </si>
  <si>
    <t>Well</t>
  </si>
  <si>
    <t>Date</t>
  </si>
  <si>
    <t>PE</t>
  </si>
  <si>
    <t>To</t>
  </si>
  <si>
    <t>A</t>
  </si>
  <si>
    <t>B</t>
  </si>
  <si>
    <t>P</t>
  </si>
  <si>
    <t>PRDTN</t>
  </si>
  <si>
    <t>Class</t>
  </si>
  <si>
    <t>Sub</t>
  </si>
  <si>
    <t>O</t>
  </si>
  <si>
    <t>S</t>
  </si>
  <si>
    <t>R</t>
  </si>
  <si>
    <t>Rig up</t>
  </si>
  <si>
    <t>Operation</t>
  </si>
  <si>
    <t>Activity</t>
  </si>
  <si>
    <t>K</t>
  </si>
  <si>
    <t>Flushing</t>
  </si>
  <si>
    <t>M</t>
  </si>
  <si>
    <t>H</t>
  </si>
  <si>
    <t>C</t>
  </si>
  <si>
    <t>Phase:</t>
  </si>
  <si>
    <t>Class:</t>
  </si>
  <si>
    <t>Code</t>
  </si>
  <si>
    <t>CodeList</t>
  </si>
  <si>
    <t>Move and spot</t>
  </si>
  <si>
    <t>Base to location move</t>
  </si>
  <si>
    <t>Inter pad/platform move</t>
  </si>
  <si>
    <t>Inter-well move</t>
  </si>
  <si>
    <t>D</t>
  </si>
  <si>
    <t>E</t>
  </si>
  <si>
    <t>F</t>
  </si>
  <si>
    <t>G</t>
  </si>
  <si>
    <t>Preparation/RD</t>
  </si>
  <si>
    <t>Pressure test</t>
  </si>
  <si>
    <t>Rig down</t>
  </si>
  <si>
    <t>Others</t>
  </si>
  <si>
    <t>Waiting</t>
  </si>
  <si>
    <t>OTHERS</t>
  </si>
  <si>
    <t>I</t>
  </si>
  <si>
    <t>J</t>
  </si>
  <si>
    <t>L</t>
  </si>
  <si>
    <t>N</t>
  </si>
  <si>
    <t>Q</t>
  </si>
  <si>
    <t>Safety Meetings / Drills</t>
  </si>
  <si>
    <t>Safety Meeting</t>
  </si>
  <si>
    <t>Safety Drill</t>
  </si>
  <si>
    <t>Rate verification</t>
  </si>
  <si>
    <t>Header pumping</t>
  </si>
  <si>
    <t>Post stimulation</t>
  </si>
  <si>
    <t>Milling</t>
  </si>
  <si>
    <t>Uncategorized</t>
  </si>
  <si>
    <t>Fishing</t>
  </si>
  <si>
    <t>85. Move and spot</t>
  </si>
  <si>
    <t>86. Preparation/RD</t>
  </si>
  <si>
    <t>87. Operation</t>
  </si>
  <si>
    <t>24. Waiting</t>
  </si>
  <si>
    <t>Offload/Spot</t>
  </si>
  <si>
    <t>Packup/Load back</t>
  </si>
  <si>
    <t>88. Safety Meetings / Drills</t>
  </si>
  <si>
    <t>Well Handover</t>
  </si>
  <si>
    <t>89. Uncategorized</t>
  </si>
  <si>
    <t>Prejob/Function Test</t>
  </si>
  <si>
    <t>Preparation</t>
  </si>
  <si>
    <t>WAIT ON OPERATOR</t>
  </si>
  <si>
    <t>WAITING ON CHEMICALS</t>
  </si>
  <si>
    <t>WAIT ON WEATHER</t>
  </si>
  <si>
    <t>WAIT ON WORK PERMIT</t>
  </si>
  <si>
    <t>WAIT ON SUPPORT SERVICES</t>
  </si>
  <si>
    <t>WAIT ON RIG</t>
  </si>
  <si>
    <t>WAIT ON FRAC</t>
  </si>
  <si>
    <t>WAIT ON SLICKLINE</t>
  </si>
  <si>
    <t>WAIT ON ELINE</t>
  </si>
  <si>
    <t>WAIT ON SWT</t>
  </si>
  <si>
    <t>WAIT ON WELL INTEGRITY</t>
  </si>
  <si>
    <t>WAIT ON PUMPING</t>
  </si>
  <si>
    <t>WAIT ON CTU</t>
  </si>
  <si>
    <t>WAIT FOR WASTE PIT</t>
  </si>
  <si>
    <t>WAIT ON PROGRAM/DECISION</t>
  </si>
  <si>
    <t>WAIT ON LOCAL ISSUES</t>
  </si>
  <si>
    <t>WAIT ON EQUIP FAILURE/MAINTENANCE</t>
  </si>
  <si>
    <t>Cleanout</t>
  </si>
  <si>
    <t>Flowback (N2)</t>
  </si>
  <si>
    <t>Flowback (self)</t>
  </si>
  <si>
    <t>JP flowback</t>
  </si>
  <si>
    <t>Surface well testing</t>
  </si>
  <si>
    <t>P. Planned</t>
  </si>
  <si>
    <t>U. Unplanned</t>
  </si>
  <si>
    <t>S. Downtime (3rd Party)</t>
  </si>
  <si>
    <t>Sub activity</t>
  </si>
  <si>
    <t>Unit Supervisor</t>
  </si>
  <si>
    <t>Time</t>
  </si>
  <si>
    <t>Cumm liquid data</t>
  </si>
  <si>
    <t xml:space="preserve">Oil Flow Rate </t>
  </si>
  <si>
    <t>BS&amp;W</t>
  </si>
  <si>
    <t>Water Flow Rate</t>
  </si>
  <si>
    <t>Salinity</t>
  </si>
  <si>
    <t>pH</t>
  </si>
  <si>
    <t>HH:mm</t>
  </si>
  <si>
    <t>/ 64"</t>
  </si>
  <si>
    <t>%</t>
  </si>
  <si>
    <t>ppm</t>
  </si>
  <si>
    <t>bbl/d</t>
  </si>
  <si>
    <t>bbl</t>
  </si>
  <si>
    <t>bbl/mscf</t>
  </si>
  <si>
    <t>NaCl in ppm</t>
  </si>
  <si>
    <t>Meter Factor</t>
  </si>
  <si>
    <t>Kg</t>
  </si>
  <si>
    <t>mscf/bbl</t>
  </si>
  <si>
    <t>in (")</t>
  </si>
  <si>
    <r>
      <t>"H</t>
    </r>
    <r>
      <rPr>
        <b/>
        <vertAlign val="subscript"/>
        <sz val="10"/>
        <color indexed="8"/>
        <rFont val="Calibri"/>
        <family val="2"/>
      </rPr>
      <t>2</t>
    </r>
    <r>
      <rPr>
        <b/>
        <sz val="10"/>
        <color indexed="8"/>
        <rFont val="Calibri"/>
        <family val="2"/>
      </rPr>
      <t>0</t>
    </r>
  </si>
  <si>
    <t>°C</t>
  </si>
  <si>
    <t>psi(g)</t>
  </si>
  <si>
    <t>Sand Quantity</t>
  </si>
  <si>
    <t>API @ 60ºF</t>
  </si>
  <si>
    <t>WGR</t>
  </si>
  <si>
    <t>CGR</t>
  </si>
  <si>
    <t>Shrinkage factor</t>
  </si>
  <si>
    <t>Annulus Pressure</t>
  </si>
  <si>
    <t>Wellhead Temp</t>
  </si>
  <si>
    <t>Wellhead Pressure</t>
  </si>
  <si>
    <t>Wellhead parameters</t>
  </si>
  <si>
    <t>Choke Size</t>
  </si>
  <si>
    <t>FLOW RATE SHEET (Surge tank)</t>
  </si>
  <si>
    <t>T.F = 0.1088 bbl/cm</t>
  </si>
  <si>
    <t>Surge Tank Reading</t>
  </si>
  <si>
    <t>Received Liquid</t>
  </si>
  <si>
    <t>Flowrate</t>
  </si>
  <si>
    <t>Cummulative Volume</t>
  </si>
  <si>
    <t>Oil Volume</t>
  </si>
  <si>
    <t>Oil Rate</t>
  </si>
  <si>
    <t>Oil Cum. Volume</t>
  </si>
  <si>
    <t>Water Volume</t>
  </si>
  <si>
    <t>Water Rate</t>
  </si>
  <si>
    <t>Water Cum. Volume</t>
  </si>
  <si>
    <t>Remarks</t>
  </si>
  <si>
    <t>/64"</t>
  </si>
  <si>
    <t>min</t>
  </si>
  <si>
    <t>cm</t>
  </si>
  <si>
    <t>bpd</t>
  </si>
  <si>
    <t>Time interval</t>
  </si>
  <si>
    <t>mmscf/d</t>
  </si>
  <si>
    <t>mmscf</t>
  </si>
  <si>
    <t>dd-Mmm-yy</t>
  </si>
  <si>
    <t>hh:mm</t>
  </si>
  <si>
    <t>Gas Flow Rate</t>
  </si>
  <si>
    <t>128 Fix.</t>
  </si>
  <si>
    <t>Well: Raag-45-01</t>
  </si>
  <si>
    <t>Well: Raag-86-01</t>
  </si>
  <si>
    <t>A - Safety Meeting</t>
  </si>
  <si>
    <t>Shibu P</t>
  </si>
  <si>
    <t>D - Rig down</t>
  </si>
  <si>
    <t>A - Rig up</t>
  </si>
  <si>
    <t>Day crew (Rahul Modi, Vivek, Laxman, Ashok,Thana Ram, Devendra) arrived at location. Shift handover done. Night crew left the location. Conducted TBT among all onboard members. Discussed on current safety campaign topic "Safety in Confined Space."</t>
  </si>
  <si>
    <t>Rahul Modi</t>
  </si>
  <si>
    <t>SWT waiting for scaffolding team.</t>
  </si>
  <si>
    <t>Raag-24-01</t>
  </si>
  <si>
    <t xml:space="preserve">At 11:00 Hrs, Done greesing of SWT CMF. At 12:00 Hrs, Completed integrity test on work valve for Raag-24-01. Waiting for Scaffolding team. </t>
  </si>
  <si>
    <t xml:space="preserve">17:30 Hrs, Scaffolding team arrived at locaion. 17:45 Hrs, Removed scaffolding from Raag 86-01. 18:30 Hrs, Installed scaffolding on Raag 24-01. 18:45 Hrs, Removed cap from work valve. </t>
  </si>
  <si>
    <t>Night crew (Rabin Rajamoni, Krishan Kumar, Basheer, Syrin, Nilesh,Rajesh) arrived at location. Shift handover done. Night crew left the location. Conducted TBT among all onboard members. Discussed on current safety campaign topic "Safety in Confined Space."</t>
  </si>
  <si>
    <t>Rabin Rajamoni</t>
  </si>
  <si>
    <t>Asish B</t>
  </si>
  <si>
    <t>SWT waiting for further instruction.</t>
  </si>
  <si>
    <t>B - Pressure test</t>
  </si>
  <si>
    <t>D - OTHERS</t>
  </si>
  <si>
    <t>20:00 Hrs, Installed flow tree on work valve. 21:00 Hrs, Completed rig up from flow tree to SSV and secured with FSR. Started preperation for pressure test. Commenced pressure test of U/S line from choke manifold to work valve.</t>
  </si>
  <si>
    <t>Stopped work due to the rain started.</t>
  </si>
  <si>
    <t>After the rain stopped, started pressure test. Observed leakage, rectified the leakage. Again started building pressure, observed no visual leakage. 23:55 Hrs, Completed pressure test of U/S line from choke to wellhead @ 4100 psi. Bleed off the pressure.</t>
  </si>
  <si>
    <t>R - Rate verification</t>
  </si>
  <si>
    <t xml:space="preserve">At 10:02 Hrs, Well opened from flowing valve,  observed 300 psig pressure at CMF. At 10:10 Hrs, Well opened from CMF Adj. 12/64" bypassed sand filter to separator to LP header. At 10:15 Hrs, commenced bean up Adj. choke.At 10:53 Hrs, Well lined up from sand filter pod v2(100 micron) to separator to LP header. At 12:17 Hrs, commenced liquid metering through 1/2" turbine. At 12:55 Hrs, Beaned up Choke size to Adj. 96/64" &amp; diverted to Fix 96/64", well flow completely diverted from production to SWT. At 13:03 Hrs, Lowered orifice plate (2.75") &amp; commenced gas metering. </t>
  </si>
  <si>
    <t xml:space="preserve">Var.Adj. </t>
  </si>
  <si>
    <t>-</t>
  </si>
  <si>
    <t xml:space="preserve">At 16:35 Hrs, Lifted Orifice plate. At 16:40 Hrs, Well flow diverted from Fix 96/64" choke to Adj. 96/64" choke, Commenced gradually bean down Adj. choke and divert well to production from SWT. At 16:50, well flow closed from CMF &amp; flow diverted from SWT to production. At 16:55 Hrs, Closed swab valve &amp; work valve. </t>
  </si>
  <si>
    <t>Continue to flow through sand filter pod v2(100 micron) to Fix 96/64" choke to seperator to LP header. Gas metering through 2.75"Orifice &amp; liquid metering through 0.5"turbine meter. Average parameters (from 13:00 Hrs. to 16:30 Hrs.) THP = 476 psi, THT = 46 Deg C, Sand filter DP =  10 psi, Gas rate =  8.87  Mmscfd, Oil Rate = 88 bpd, Water Rate = 33 bpd, Liquid Rate = 122  bpd. Gas Cumm =  1.34 mmscf. Oil Cumm =  15.52 bbl, Water Cumm.= 5.96 bbl, Liquid Cumm.= 21.48 bbl.  BS&amp;W = 28 %, Gas SG = 0.734, CO2 = 0%, H2S = 0 ppm, Ph = 7, Salinity = 4000 ppm</t>
  </si>
  <si>
    <t>Got permission from CCR to ignite the flare. Bleed off the pressure through surge tank to VFS. Completed flushing of U/S line. Removed FSR and Started rig down.</t>
  </si>
  <si>
    <t xml:space="preserve">Completed rig down of U/S line from well head to SSV and SSV to Sand filter. Removed flow tree and installed the tree cap &amp; pressure tested @4000 psi. Carried out Adjustable and Fixed side choke inspection, found ok. </t>
  </si>
  <si>
    <t xml:space="preserve">Well     :   </t>
  </si>
  <si>
    <t xml:space="preserve">Field    :  </t>
  </si>
  <si>
    <t>Data sheet</t>
  </si>
  <si>
    <t>Sequence of Event</t>
  </si>
  <si>
    <t>Fluid Header Pressure</t>
  </si>
  <si>
    <t xml:space="preserve"> Sand Filter DP
Calculated </t>
  </si>
  <si>
    <t xml:space="preserve">Seperator Oil Chamber level </t>
  </si>
  <si>
    <t>mm</t>
  </si>
  <si>
    <t>Specific Gravity Of Gas</t>
  </si>
  <si>
    <t xml:space="preserve">Separator Water Chamber Level </t>
  </si>
  <si>
    <t>Surge Tank Pressure</t>
  </si>
  <si>
    <t xml:space="preserve">Surge Tank Temperature </t>
  </si>
  <si>
    <t>Surge tank Liquid Level Chamber</t>
  </si>
  <si>
    <t>Knock out Drum  Pressure</t>
  </si>
  <si>
    <t xml:space="preserve">Knock out Drum Temperature </t>
  </si>
  <si>
    <t>Knock out Drum Liquid Level Chamber</t>
  </si>
  <si>
    <t xml:space="preserve">Surge tank </t>
  </si>
  <si>
    <t xml:space="preserve">Knock out Drum </t>
  </si>
  <si>
    <t>Storage Tank  Liquid Level Chamber</t>
  </si>
  <si>
    <t>Storage Tank  Temperature</t>
  </si>
  <si>
    <t>Transfer Pump</t>
  </si>
  <si>
    <t>Pump Disharge pressure</t>
  </si>
  <si>
    <t>Production Header</t>
  </si>
  <si>
    <t>Diverter Manifold pressure (Psig )</t>
  </si>
  <si>
    <t>Diverter Manifold Temperature (Deg C)</t>
  </si>
  <si>
    <t>Diverter Manifold -1</t>
  </si>
  <si>
    <t>Diverter Manifold -2</t>
  </si>
  <si>
    <t>Sand Filter Upstream Pressure</t>
  </si>
  <si>
    <t>Sand Filter Downstream Pressure</t>
  </si>
  <si>
    <t>Sand Filter Differential Pressure Sensor</t>
  </si>
  <si>
    <t>Choke Upstream
Temperature</t>
  </si>
  <si>
    <t>Choke Downstream pressure.</t>
  </si>
  <si>
    <t>Choke Downstream temperature</t>
  </si>
  <si>
    <t>Indirect Water Bath Heater</t>
  </si>
  <si>
    <t xml:space="preserve">IWBH Upstream Temperature </t>
  </si>
  <si>
    <t xml:space="preserve">IWBH Downstream Temperature </t>
  </si>
  <si>
    <t>GOR</t>
  </si>
  <si>
    <t>Gas Oil Ratio</t>
  </si>
  <si>
    <t>Oil Gas Ratio</t>
  </si>
  <si>
    <t>Condensate gas Ratio</t>
  </si>
  <si>
    <t>Water Gas Ratio</t>
  </si>
  <si>
    <t>Heat Exchanger</t>
  </si>
  <si>
    <t xml:space="preserve">Heat Exchanger Pressure </t>
  </si>
  <si>
    <t>Heat Exchanger Temperature</t>
  </si>
  <si>
    <t>ltr/hr</t>
  </si>
  <si>
    <t xml:space="preserve">Oil Line Water Cut Meter </t>
  </si>
  <si>
    <t>Storage Tank</t>
  </si>
  <si>
    <t xml:space="preserve">Chemical Dosing Rate </t>
  </si>
  <si>
    <t xml:space="preserve">Separator Oil Line Temperature </t>
  </si>
  <si>
    <t>Fix. 16</t>
  </si>
  <si>
    <t>Fix. 17</t>
  </si>
  <si>
    <t>Fix. 18</t>
  </si>
  <si>
    <t>Fix. 19</t>
  </si>
  <si>
    <t>Separator Oil data</t>
  </si>
  <si>
    <t>Separator Gas data</t>
  </si>
  <si>
    <t>Separator Water data</t>
  </si>
  <si>
    <t>Reservior Parameters</t>
  </si>
  <si>
    <t>Sand Data</t>
  </si>
  <si>
    <t>Annotation</t>
  </si>
  <si>
    <t>WHP</t>
  </si>
  <si>
    <t>WHT</t>
  </si>
  <si>
    <t>Ann. Pr.</t>
  </si>
  <si>
    <t>SF U/S</t>
  </si>
  <si>
    <t>SF D/S</t>
  </si>
  <si>
    <t>SF DP C</t>
  </si>
  <si>
    <t>SF DP</t>
  </si>
  <si>
    <t>Choke Upstream Pressure</t>
  </si>
  <si>
    <t>Choke U/S Pr.</t>
  </si>
  <si>
    <t>Choke U/S Temp.</t>
  </si>
  <si>
    <t>IWBH U/S Temp.</t>
  </si>
  <si>
    <t>Choke D/S Pr.</t>
  </si>
  <si>
    <t>Choke D/S Temp.</t>
  </si>
  <si>
    <t>IWBH D/S Temp.</t>
  </si>
  <si>
    <t>Heat Exc. Pr.</t>
  </si>
  <si>
    <t>Heat Exc. Te.</t>
  </si>
  <si>
    <t>Fluid He. Pr.</t>
  </si>
  <si>
    <t>Gas Flow. Ra.</t>
  </si>
  <si>
    <t>Sep. Pressure</t>
  </si>
  <si>
    <t>Sep. Temp.</t>
  </si>
  <si>
    <t xml:space="preserve">Static Pressure </t>
  </si>
  <si>
    <t xml:space="preserve">Static Temperature </t>
  </si>
  <si>
    <t>Differential Pressure</t>
  </si>
  <si>
    <t>Static Temperature</t>
  </si>
  <si>
    <t xml:space="preserve">Differential Pressure </t>
  </si>
  <si>
    <t>Sep. Diff. Pr.</t>
  </si>
  <si>
    <t xml:space="preserve">Orifice Plate Size </t>
  </si>
  <si>
    <t>Orfice Size</t>
  </si>
  <si>
    <t>Cummulative Gas volume</t>
  </si>
  <si>
    <t>Cumm. Gas VoL.</t>
  </si>
  <si>
    <r>
      <t>CO</t>
    </r>
    <r>
      <rPr>
        <b/>
        <vertAlign val="subscript"/>
        <sz val="10"/>
        <color indexed="8"/>
        <rFont val="Calibri"/>
        <family val="2"/>
      </rPr>
      <t>2</t>
    </r>
    <r>
      <rPr>
        <b/>
        <sz val="10"/>
        <color indexed="8"/>
        <rFont val="Calibri"/>
        <family val="2"/>
      </rPr>
      <t xml:space="preserve"> Content </t>
    </r>
  </si>
  <si>
    <r>
      <t>H</t>
    </r>
    <r>
      <rPr>
        <b/>
        <vertAlign val="subscript"/>
        <sz val="10"/>
        <color indexed="8"/>
        <rFont val="Calibri"/>
        <family val="2"/>
      </rPr>
      <t>2</t>
    </r>
    <r>
      <rPr>
        <b/>
        <sz val="10"/>
        <color indexed="8"/>
        <rFont val="Calibri"/>
        <family val="2"/>
      </rPr>
      <t>S Content</t>
    </r>
  </si>
  <si>
    <r>
      <t>H</t>
    </r>
    <r>
      <rPr>
        <b/>
        <vertAlign val="subscript"/>
        <sz val="10"/>
        <color indexed="8"/>
        <rFont val="Calibri"/>
        <family val="2"/>
      </rPr>
      <t>2</t>
    </r>
    <r>
      <rPr>
        <b/>
        <sz val="10"/>
        <color indexed="8"/>
        <rFont val="Calibri"/>
        <family val="2"/>
      </rPr>
      <t xml:space="preserve">S Content </t>
    </r>
  </si>
  <si>
    <t>SG of Gas</t>
  </si>
  <si>
    <t>Shr. Factor</t>
  </si>
  <si>
    <t>Met. Factor</t>
  </si>
  <si>
    <t>Cum. Oil</t>
  </si>
  <si>
    <t>Cummulative Oil Vilume</t>
  </si>
  <si>
    <t>Cummulative Oil Volume</t>
  </si>
  <si>
    <t>Cummulative Water Volume</t>
  </si>
  <si>
    <t>Cumulative Water Volume</t>
  </si>
  <si>
    <t>SG Oil  @ 60ºF</t>
  </si>
  <si>
    <t>API  @ 60ºF</t>
  </si>
  <si>
    <t>Sep. Oil Line Temp.</t>
  </si>
  <si>
    <t>Water cut</t>
  </si>
  <si>
    <t>Sep. Oil Level</t>
  </si>
  <si>
    <t>Cum. Water</t>
  </si>
  <si>
    <t>Sep. Water Level</t>
  </si>
  <si>
    <t xml:space="preserve">Liquid Flow  Rate </t>
  </si>
  <si>
    <t>Liquid Rate</t>
  </si>
  <si>
    <t>Liquid cummulative Volume</t>
  </si>
  <si>
    <t>Liquid cum. Vol.</t>
  </si>
  <si>
    <t>OGR</t>
  </si>
  <si>
    <t>Sand Qty.</t>
  </si>
  <si>
    <t>KOD Pr.</t>
  </si>
  <si>
    <t>KOD Temp.</t>
  </si>
  <si>
    <t>SUT Pr.</t>
  </si>
  <si>
    <t>SUT. Temp.</t>
  </si>
  <si>
    <t>STO Liq. Level</t>
  </si>
  <si>
    <t>STO Temp.</t>
  </si>
  <si>
    <t>Pump Dis. Pr.</t>
  </si>
  <si>
    <t>DM-1 Pr.</t>
  </si>
  <si>
    <t>DM-1 Temp.</t>
  </si>
  <si>
    <t>DM-2 Pr.</t>
  </si>
  <si>
    <t>DM-2 Temp..</t>
  </si>
  <si>
    <t xml:space="preserve">Liquid Flow Rate </t>
  </si>
  <si>
    <t>Specific Gravity of Oil      @ 60ºF</t>
  </si>
  <si>
    <t>Specific Gravity of Oil   @ 60ºF</t>
  </si>
  <si>
    <t xml:space="preserve">Basic Sediment &amp; Water </t>
  </si>
  <si>
    <t xml:space="preserve">Flowhead/Wellhead </t>
  </si>
  <si>
    <t xml:space="preserve">Sand Filter </t>
  </si>
  <si>
    <t xml:space="preserve">Data Header </t>
  </si>
  <si>
    <t xml:space="preserve">-40 Deg C to 300 Deg C </t>
  </si>
  <si>
    <t>-400" WC to 400" WC</t>
  </si>
  <si>
    <t xml:space="preserve">Range </t>
  </si>
  <si>
    <t>Differential Sensor</t>
  </si>
  <si>
    <t>Temperature Sensor</t>
  </si>
  <si>
    <t>Pressure Sensor</t>
  </si>
  <si>
    <t>Transmitter/Sensor</t>
  </si>
  <si>
    <t>Flow Sensor</t>
  </si>
  <si>
    <t>0 to 16000 BPD</t>
  </si>
  <si>
    <t>Level Sensor</t>
  </si>
  <si>
    <t>=</t>
  </si>
  <si>
    <t xml:space="preserve">0-25000 PSI </t>
  </si>
  <si>
    <t>0 to 5000 mm</t>
  </si>
  <si>
    <t>Sand Filter</t>
  </si>
  <si>
    <t>Choke Manifold</t>
  </si>
  <si>
    <t>Separator</t>
  </si>
  <si>
    <t>Flowhead Pressure</t>
  </si>
  <si>
    <t>Flowhead Temperature</t>
  </si>
  <si>
    <t>Sensor</t>
  </si>
  <si>
    <t>Fluid Header Temperature</t>
  </si>
  <si>
    <t>Fluid Temp. Pr.</t>
  </si>
  <si>
    <t>Knock out drum</t>
  </si>
  <si>
    <t>Surge Tank</t>
  </si>
  <si>
    <t>Diverter Manifold</t>
  </si>
  <si>
    <t>FWHP</t>
  </si>
  <si>
    <t>FWHT</t>
  </si>
  <si>
    <t>Equipment</t>
  </si>
  <si>
    <t xml:space="preserve">Fulll Name </t>
  </si>
  <si>
    <t>SSV/Flowhead</t>
  </si>
  <si>
    <t>Data Header Downstream Of Choke manifold</t>
  </si>
  <si>
    <t>Data header downstream Pressure</t>
  </si>
  <si>
    <t>DH U/S Pr.</t>
  </si>
  <si>
    <t>Data header downstream Temperature</t>
  </si>
  <si>
    <t>DH U/S Temp.</t>
  </si>
  <si>
    <t>Data header upstream Pressure</t>
  </si>
  <si>
    <t>Data header updatream Temperature</t>
  </si>
  <si>
    <t>DH D/S Pr.</t>
  </si>
  <si>
    <t>DH D/S Temp.</t>
  </si>
  <si>
    <t>Data Header Upstream Of Choke manifold</t>
  </si>
  <si>
    <t xml:space="preserve">Seperator Gas Line Temperature </t>
  </si>
  <si>
    <t>Sep. Gas Temp.</t>
  </si>
  <si>
    <t>Gas Flow meter</t>
  </si>
  <si>
    <t>Gas Mtr.</t>
  </si>
  <si>
    <t>Surge tank Liquid Level Chamber-1</t>
  </si>
  <si>
    <t>Surge tank Liquid Level Chamber-2</t>
  </si>
  <si>
    <t>SUT. Liq. Level-2</t>
  </si>
  <si>
    <t>SUT. Liq. Level-1</t>
  </si>
  <si>
    <t>Knock out Drum Liquid Level Chamber-1</t>
  </si>
  <si>
    <t>KOD Liq. Level-1</t>
  </si>
  <si>
    <t>Knock out Drum Liquid Level Chamber-2</t>
  </si>
  <si>
    <t>KOD Liq. Level-2</t>
  </si>
  <si>
    <t>Production Fluid 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</si>
</sst>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 #,##0.00_ ;_ * \-#,##0.00_ ;_ * &quot;-&quot;??_ ;_ @_ "/>
    <numFmt numFmtId="164" formatCode="_(* #,##0.00_);_(* \(#,##0.00\);_(* &quot;-&quot;??_);_(@_)"/>
    <numFmt numFmtId="165" formatCode="_-* #,##0.00_-;\-* #,##0.00_-;_-* &quot;-&quot;??_-;_-@_-"/>
    <numFmt numFmtId="166" formatCode="[$-409]d\-mmm\-yy;@"/>
    <numFmt numFmtId="167" formatCode="[$-409]d\-mmm\-yyyy;@"/>
    <numFmt numFmtId="168" formatCode="00"/>
    <numFmt numFmtId="169" formatCode="h:mm;@"/>
    <numFmt numFmtId="170" formatCode="0.0"/>
    <numFmt numFmtId="171" formatCode="0.000"/>
    <numFmt numFmtId="172" formatCode="0.000;[Red]0.000"/>
    <numFmt numFmtId="173" formatCode="0;[Red]0"/>
    <numFmt numFmtId="174" formatCode="0.0;[Red]0.0"/>
    <numFmt numFmtId="175" formatCode="0.00;[Red]0.00"/>
    <numFmt numFmtId="176" formatCode="[$-409]d/mmm/yy;@"/>
  </numFmts>
  <fonts count="37"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theme="1"/>
      <name val="Calibri"/>
      <family val="2"/>
      <scheme val="minor"/>
    </font>
    <font>
      <b/>
      <sz val="16"/>
      <color theme="1"/>
      <name val="Calibri"/>
      <family val="2"/>
      <scheme val="minor"/>
    </font>
    <font>
      <u/>
      <sz val="11"/>
      <color theme="10"/>
      <name val="Calibri"/>
      <family val="2"/>
      <scheme val="minor"/>
    </font>
    <font>
      <b/>
      <sz val="18"/>
      <color theme="3"/>
      <name val="Cambria"/>
      <family val="2"/>
      <scheme val="major"/>
    </font>
    <font>
      <sz val="11"/>
      <color indexed="8"/>
      <name val="Calibri"/>
      <family val="2"/>
    </font>
    <font>
      <sz val="11"/>
      <color theme="0"/>
      <name val="Calibri"/>
      <family val="2"/>
      <scheme val="minor"/>
    </font>
    <font>
      <sz val="10"/>
      <name val="Arial"/>
      <family val="2"/>
    </font>
    <font>
      <sz val="8"/>
      <name val="Calibri"/>
      <family val="2"/>
      <scheme val="minor"/>
    </font>
    <font>
      <b/>
      <sz val="8"/>
      <color theme="1"/>
      <name val="Calibri"/>
      <family val="2"/>
      <scheme val="minor"/>
    </font>
    <font>
      <b/>
      <sz val="8"/>
      <name val="Calibri"/>
      <family val="2"/>
      <scheme val="minor"/>
    </font>
    <font>
      <b/>
      <sz val="8"/>
      <color rgb="FF000000"/>
      <name val="Calibri"/>
      <family val="2"/>
    </font>
    <font>
      <b/>
      <sz val="8"/>
      <name val="Calibri"/>
      <family val="2"/>
    </font>
    <font>
      <b/>
      <sz val="9"/>
      <color indexed="81"/>
      <name val="Tahoma"/>
      <family val="2"/>
    </font>
    <font>
      <sz val="9"/>
      <color indexed="81"/>
      <name val="Tahoma"/>
      <family val="2"/>
    </font>
    <font>
      <b/>
      <sz val="11"/>
      <color theme="0" tint="-0.499984740745262"/>
      <name val="Calibri"/>
      <family val="2"/>
      <scheme val="minor"/>
    </font>
    <font>
      <sz val="10"/>
      <color theme="0" tint="-0.499984740745262"/>
      <name val="Calibri"/>
      <family val="2"/>
      <scheme val="minor"/>
    </font>
    <font>
      <sz val="10"/>
      <color rgb="FF000000"/>
      <name val="Calibri"/>
      <family val="2"/>
    </font>
    <font>
      <b/>
      <sz val="11"/>
      <name val="Calibri"/>
      <family val="2"/>
      <scheme val="minor"/>
    </font>
    <font>
      <b/>
      <sz val="10"/>
      <color theme="1"/>
      <name val="Calibri"/>
      <family val="2"/>
      <scheme val="minor"/>
    </font>
    <font>
      <b/>
      <sz val="10"/>
      <name val="Calibri"/>
      <family val="2"/>
    </font>
    <font>
      <b/>
      <sz val="10"/>
      <color indexed="8"/>
      <name val="Calibri"/>
      <family val="2"/>
    </font>
    <font>
      <b/>
      <vertAlign val="subscript"/>
      <sz val="10"/>
      <color indexed="8"/>
      <name val="Calibri"/>
      <family val="2"/>
    </font>
    <font>
      <b/>
      <sz val="10"/>
      <name val="Arial"/>
      <family val="2"/>
    </font>
    <font>
      <b/>
      <sz val="12"/>
      <name val="Tahoma"/>
      <family val="2"/>
    </font>
    <font>
      <b/>
      <sz val="14"/>
      <color theme="1"/>
      <name val="Tahoma"/>
      <family val="2"/>
    </font>
    <font>
      <b/>
      <sz val="18"/>
      <name val="Calibri"/>
      <family val="2"/>
      <scheme val="minor"/>
    </font>
    <font>
      <sz val="18"/>
      <name val="Calibri"/>
      <family val="2"/>
      <scheme val="minor"/>
    </font>
    <font>
      <b/>
      <sz val="18"/>
      <color theme="2" tint="-0.749992370372631"/>
      <name val="Calibri"/>
      <family val="2"/>
      <scheme val="minor"/>
    </font>
    <font>
      <b/>
      <sz val="11"/>
      <color theme="2" tint="-0.749992370372631"/>
      <name val="Calibri"/>
      <family val="2"/>
      <scheme val="minor"/>
    </font>
    <font>
      <sz val="11"/>
      <color theme="1"/>
      <name val="Calibri"/>
      <family val="2"/>
    </font>
    <font>
      <b/>
      <sz val="14"/>
      <color theme="1"/>
      <name val="Calibri"/>
      <family val="2"/>
      <scheme val="minor"/>
    </font>
  </fonts>
  <fills count="27">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4"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5" tint="0.39997558519241921"/>
        <bgColor indexed="64"/>
      </patternFill>
    </fill>
    <fill>
      <patternFill patternType="solid">
        <fgColor indexed="41"/>
        <bgColor indexed="64"/>
      </patternFill>
    </fill>
    <fill>
      <patternFill patternType="solid">
        <fgColor rgb="FFFFFF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0.249977111117893"/>
        <bgColor indexed="64"/>
      </patternFill>
    </fill>
    <fill>
      <patternFill patternType="solid">
        <fgColor rgb="FFFFFF00"/>
        <bgColor indexed="64"/>
      </patternFill>
    </fill>
    <fill>
      <patternFill patternType="solid">
        <fgColor rgb="FFE4DFEC"/>
        <bgColor rgb="FF000000"/>
      </patternFill>
    </fill>
    <fill>
      <patternFill patternType="solid">
        <fgColor theme="0"/>
        <bgColor rgb="FF000000"/>
      </patternFill>
    </fill>
    <fill>
      <patternFill patternType="solid">
        <fgColor rgb="FFFFFF00"/>
        <bgColor rgb="FF000000"/>
      </patternFill>
    </fill>
    <fill>
      <patternFill patternType="solid">
        <fgColor indexed="13"/>
        <bgColor indexed="64"/>
      </patternFill>
    </fill>
    <fill>
      <patternFill patternType="solid">
        <fgColor rgb="FF00B050"/>
        <bgColor indexed="64"/>
      </patternFill>
    </fill>
    <fill>
      <patternFill patternType="solid">
        <fgColor rgb="FF92D05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auto="1"/>
      </bottom>
      <diagonal/>
    </border>
    <border>
      <left/>
      <right/>
      <top style="medium">
        <color indexed="64"/>
      </top>
      <bottom style="thin">
        <color indexed="64"/>
      </bottom>
      <diagonal/>
    </border>
    <border>
      <left/>
      <right style="medium">
        <color indexed="64"/>
      </right>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s>
  <cellStyleXfs count="50">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5" fillId="0" borderId="0"/>
    <xf numFmtId="164" fontId="1" fillId="0" borderId="0" applyFont="0" applyFill="0" applyBorder="0" applyAlignment="0" applyProtection="0"/>
    <xf numFmtId="0" fontId="1" fillId="0" borderId="0"/>
    <xf numFmtId="0" fontId="1" fillId="0" borderId="0"/>
    <xf numFmtId="0" fontId="2" fillId="0" borderId="0"/>
    <xf numFmtId="166" fontId="1" fillId="0" borderId="0"/>
    <xf numFmtId="0" fontId="8"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2" fillId="0" borderId="0"/>
    <xf numFmtId="0" fontId="10" fillId="0" borderId="0"/>
    <xf numFmtId="0" fontId="1" fillId="0" borderId="0"/>
    <xf numFmtId="0" fontId="1" fillId="0" borderId="0"/>
    <xf numFmtId="166" fontId="2" fillId="0" borderId="0"/>
    <xf numFmtId="166" fontId="2" fillId="0" borderId="0"/>
    <xf numFmtId="167" fontId="1" fillId="0" borderId="0"/>
    <xf numFmtId="0" fontId="9" fillId="0" borderId="0" applyNumberFormat="0" applyFill="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xf numFmtId="0" fontId="11" fillId="4" borderId="0" applyNumberFormat="0" applyBorder="0" applyAlignment="0" applyProtection="0"/>
    <xf numFmtId="0" fontId="2" fillId="0" borderId="0"/>
    <xf numFmtId="0" fontId="2" fillId="0" borderId="0"/>
    <xf numFmtId="0" fontId="12" fillId="0" borderId="0"/>
    <xf numFmtId="0" fontId="12" fillId="0" borderId="0"/>
    <xf numFmtId="0" fontId="2" fillId="0" borderId="0"/>
    <xf numFmtId="0" fontId="1" fillId="0" borderId="0" applyNumberFormat="0" applyFill="0" applyBorder="0" applyAlignment="0" applyProtection="0"/>
    <xf numFmtId="0" fontId="1" fillId="0" borderId="0"/>
    <xf numFmtId="0" fontId="2" fillId="0" borderId="0"/>
    <xf numFmtId="0" fontId="12" fillId="0" borderId="0"/>
    <xf numFmtId="0" fontId="1" fillId="0" borderId="0"/>
    <xf numFmtId="0" fontId="1" fillId="0" borderId="0"/>
    <xf numFmtId="0" fontId="1" fillId="0" borderId="0"/>
    <xf numFmtId="165"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cellStyleXfs>
  <cellXfs count="302">
    <xf numFmtId="0" fontId="0" fillId="0" borderId="0" xfId="0"/>
    <xf numFmtId="0" fontId="6" fillId="0" borderId="0" xfId="0" applyFont="1"/>
    <xf numFmtId="0" fontId="4" fillId="0" borderId="0" xfId="0" applyFont="1"/>
    <xf numFmtId="0" fontId="4" fillId="0" borderId="0" xfId="0" applyFont="1" applyAlignment="1">
      <alignment horizontal="center" vertical="center"/>
    </xf>
    <xf numFmtId="0" fontId="13" fillId="0" borderId="0" xfId="0" applyFont="1" applyAlignment="1">
      <alignment horizontal="left"/>
    </xf>
    <xf numFmtId="0" fontId="14" fillId="0" borderId="3" xfId="0" applyFont="1" applyBorder="1" applyAlignment="1">
      <alignment horizontal="center"/>
    </xf>
    <xf numFmtId="0" fontId="14" fillId="0" borderId="2" xfId="0" applyFont="1" applyBorder="1" applyAlignment="1">
      <alignment horizontal="center"/>
    </xf>
    <xf numFmtId="0" fontId="15" fillId="0" borderId="2" xfId="0" applyFont="1" applyBorder="1" applyAlignment="1">
      <alignment horizontal="center"/>
    </xf>
    <xf numFmtId="0" fontId="4" fillId="0" borderId="1" xfId="0" applyFont="1" applyBorder="1"/>
    <xf numFmtId="0" fontId="16" fillId="2" borderId="10" xfId="0" applyFont="1" applyFill="1" applyBorder="1" applyAlignment="1">
      <alignment horizontal="left" vertical="center"/>
    </xf>
    <xf numFmtId="0" fontId="16" fillId="2" borderId="5" xfId="0" applyFont="1" applyFill="1" applyBorder="1" applyAlignment="1">
      <alignment horizontal="left" vertical="center"/>
    </xf>
    <xf numFmtId="0" fontId="14" fillId="2" borderId="10" xfId="0" applyFont="1" applyFill="1" applyBorder="1" applyAlignment="1">
      <alignment horizontal="left"/>
    </xf>
    <xf numFmtId="0" fontId="14" fillId="2" borderId="5" xfId="0" applyFont="1" applyFill="1" applyBorder="1" applyAlignment="1">
      <alignment horizontal="left"/>
    </xf>
    <xf numFmtId="0" fontId="13" fillId="0" borderId="8" xfId="0" applyFont="1" applyBorder="1"/>
    <xf numFmtId="0" fontId="13" fillId="0" borderId="5" xfId="0" applyFont="1" applyBorder="1"/>
    <xf numFmtId="168" fontId="15" fillId="3" borderId="5" xfId="0" applyNumberFormat="1" applyFont="1" applyFill="1" applyBorder="1" applyAlignment="1">
      <alignment horizontal="center" vertical="center"/>
    </xf>
    <xf numFmtId="0" fontId="13" fillId="0" borderId="0" xfId="0" applyFont="1"/>
    <xf numFmtId="0" fontId="13" fillId="0" borderId="5" xfId="0" applyFont="1" applyBorder="1" applyAlignment="1">
      <alignment horizontal="left"/>
    </xf>
    <xf numFmtId="168" fontId="15" fillId="3" borderId="4" xfId="0" applyNumberFormat="1" applyFont="1" applyFill="1" applyBorder="1" applyAlignment="1">
      <alignment horizontal="center" vertical="center"/>
    </xf>
    <xf numFmtId="0" fontId="13" fillId="0" borderId="4" xfId="0" applyFont="1" applyBorder="1" applyAlignment="1">
      <alignment horizontal="left"/>
    </xf>
    <xf numFmtId="0" fontId="14" fillId="2" borderId="13" xfId="0" applyFont="1" applyFill="1" applyBorder="1" applyAlignment="1">
      <alignment horizontal="left"/>
    </xf>
    <xf numFmtId="0" fontId="14" fillId="2" borderId="4" xfId="0" applyFont="1" applyFill="1" applyBorder="1" applyAlignment="1">
      <alignment horizontal="left"/>
    </xf>
    <xf numFmtId="0" fontId="13" fillId="0" borderId="8" xfId="0" applyFont="1" applyBorder="1" applyAlignment="1">
      <alignment horizontal="left"/>
    </xf>
    <xf numFmtId="0" fontId="13" fillId="0" borderId="4" xfId="0" applyFont="1" applyBorder="1"/>
    <xf numFmtId="0" fontId="13" fillId="0" borderId="0" xfId="0" applyFont="1" applyAlignment="1">
      <alignment horizontal="center" vertical="center"/>
    </xf>
    <xf numFmtId="0" fontId="15" fillId="0" borderId="2" xfId="0" applyFont="1" applyBorder="1" applyAlignment="1">
      <alignment horizontal="center" vertical="center"/>
    </xf>
    <xf numFmtId="0" fontId="15" fillId="0" borderId="0" xfId="0" applyFont="1"/>
    <xf numFmtId="168" fontId="15" fillId="3" borderId="8" xfId="0" applyNumberFormat="1" applyFont="1" applyFill="1" applyBorder="1" applyAlignment="1">
      <alignment horizontal="center" vertical="center"/>
    </xf>
    <xf numFmtId="168" fontId="13" fillId="0" borderId="0" xfId="0" applyNumberFormat="1" applyFont="1" applyAlignment="1">
      <alignment horizontal="left" vertical="center"/>
    </xf>
    <xf numFmtId="0" fontId="6"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21" fillId="0" borderId="0" xfId="0" applyFont="1" applyAlignment="1">
      <alignment horizontal="center" vertical="center" wrapText="1"/>
    </xf>
    <xf numFmtId="166" fontId="6" fillId="0" borderId="0" xfId="0" applyNumberFormat="1" applyFont="1" applyAlignment="1" applyProtection="1">
      <alignment horizontal="center" vertical="center" wrapText="1"/>
      <protection locked="0"/>
    </xf>
    <xf numFmtId="0" fontId="21" fillId="0" borderId="1" xfId="0" applyFont="1" applyBorder="1" applyAlignment="1">
      <alignment horizontal="center" vertical="center" wrapText="1"/>
    </xf>
    <xf numFmtId="0" fontId="6" fillId="0" borderId="1" xfId="0" applyFont="1" applyBorder="1" applyAlignment="1" applyProtection="1">
      <alignment horizontal="center" vertical="center" wrapText="1"/>
      <protection locked="0"/>
    </xf>
    <xf numFmtId="0" fontId="0" fillId="0" borderId="0" xfId="0"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169" fontId="23" fillId="0" borderId="0" xfId="0" applyNumberFormat="1" applyFont="1" applyAlignment="1">
      <alignment horizontal="center" vertical="center"/>
    </xf>
    <xf numFmtId="166" fontId="23" fillId="0" borderId="0" xfId="0" applyNumberFormat="1" applyFont="1" applyAlignment="1">
      <alignment horizontal="center" vertical="center"/>
    </xf>
    <xf numFmtId="0" fontId="0" fillId="0" borderId="0" xfId="0" applyAlignment="1">
      <alignment horizontal="center" vertical="center" wrapText="1"/>
    </xf>
    <xf numFmtId="1" fontId="26" fillId="10" borderId="1" xfId="49" applyNumberFormat="1" applyFont="1" applyFill="1" applyBorder="1" applyAlignment="1" applyProtection="1">
      <alignment horizontal="center" vertical="center" wrapText="1"/>
      <protection hidden="1"/>
    </xf>
    <xf numFmtId="1" fontId="26" fillId="9" borderId="1" xfId="48" applyNumberFormat="1" applyFont="1" applyFill="1" applyBorder="1" applyAlignment="1" applyProtection="1">
      <alignment horizontal="center" vertical="center" wrapText="1"/>
      <protection hidden="1"/>
    </xf>
    <xf numFmtId="1" fontId="26" fillId="9" borderId="1" xfId="47" applyNumberFormat="1" applyFont="1" applyFill="1" applyBorder="1" applyAlignment="1" applyProtection="1">
      <alignment horizontal="center" vertical="center" wrapText="1"/>
      <protection hidden="1"/>
    </xf>
    <xf numFmtId="2" fontId="0" fillId="0" borderId="0" xfId="0" applyNumberFormat="1"/>
    <xf numFmtId="0" fontId="34" fillId="16" borderId="30" xfId="0" applyFont="1" applyFill="1" applyBorder="1" applyAlignment="1">
      <alignment horizontal="left" vertical="center"/>
    </xf>
    <xf numFmtId="173" fontId="24" fillId="18" borderId="32" xfId="0" applyNumberFormat="1" applyFont="1" applyFill="1" applyBorder="1" applyAlignment="1">
      <alignment horizontal="center" vertical="center"/>
    </xf>
    <xf numFmtId="0" fontId="24" fillId="18" borderId="33" xfId="0" applyFont="1" applyFill="1" applyBorder="1" applyAlignment="1">
      <alignment horizontal="center" vertical="center" wrapText="1"/>
    </xf>
    <xf numFmtId="175" fontId="24" fillId="18" borderId="33" xfId="0" applyNumberFormat="1" applyFont="1" applyFill="1" applyBorder="1" applyAlignment="1">
      <alignment horizontal="center" vertical="center" wrapText="1"/>
    </xf>
    <xf numFmtId="174" fontId="24" fillId="18" borderId="33" xfId="0" applyNumberFormat="1"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8" borderId="35" xfId="0" applyFont="1" applyFill="1" applyBorder="1" applyAlignment="1">
      <alignment horizontal="center" vertical="center" wrapText="1"/>
    </xf>
    <xf numFmtId="173" fontId="24" fillId="18" borderId="37" xfId="0" applyNumberFormat="1" applyFont="1" applyFill="1" applyBorder="1" applyAlignment="1">
      <alignment horizontal="center" vertical="center"/>
    </xf>
    <xf numFmtId="0" fontId="24" fillId="18" borderId="37" xfId="0" applyFont="1" applyFill="1" applyBorder="1" applyAlignment="1">
      <alignment horizontal="center" vertical="center"/>
    </xf>
    <xf numFmtId="175" fontId="24" fillId="18" borderId="37" xfId="0" applyNumberFormat="1" applyFont="1" applyFill="1" applyBorder="1" applyAlignment="1">
      <alignment horizontal="center" vertical="center"/>
    </xf>
    <xf numFmtId="174" fontId="24" fillId="18" borderId="37" xfId="0" applyNumberFormat="1" applyFont="1" applyFill="1" applyBorder="1" applyAlignment="1">
      <alignment horizontal="center" vertical="center" wrapText="1"/>
    </xf>
    <xf numFmtId="0" fontId="24" fillId="18" borderId="37" xfId="0"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0" fillId="19"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xf>
    <xf numFmtId="175" fontId="0" fillId="13" borderId="21" xfId="0" applyNumberFormat="1" applyFill="1" applyBorder="1" applyAlignment="1">
      <alignment horizontal="center" vertical="center"/>
    </xf>
    <xf numFmtId="0" fontId="0" fillId="0" borderId="0" xfId="0" applyAlignment="1">
      <alignment vertical="center"/>
    </xf>
    <xf numFmtId="0" fontId="0" fillId="20" borderId="0" xfId="0" applyFill="1"/>
    <xf numFmtId="173" fontId="0" fillId="0" borderId="0" xfId="0" applyNumberFormat="1" applyAlignment="1">
      <alignment vertical="center"/>
    </xf>
    <xf numFmtId="175" fontId="0" fillId="0" borderId="0" xfId="0" applyNumberFormat="1" applyAlignment="1">
      <alignment vertical="center"/>
    </xf>
    <xf numFmtId="0" fontId="24" fillId="18" borderId="31" xfId="0" applyFont="1" applyFill="1" applyBorder="1" applyAlignment="1">
      <alignment horizontal="center" vertical="center"/>
    </xf>
    <xf numFmtId="0" fontId="0" fillId="18" borderId="33" xfId="0" applyFill="1" applyBorder="1" applyAlignment="1">
      <alignment horizontal="center" vertical="center" wrapText="1"/>
    </xf>
    <xf numFmtId="14" fontId="24" fillId="18" borderId="36" xfId="0" applyNumberFormat="1" applyFont="1" applyFill="1" applyBorder="1" applyAlignment="1">
      <alignment horizontal="center" vertical="center"/>
    </xf>
    <xf numFmtId="173" fontId="35" fillId="21" borderId="21" xfId="0" applyNumberFormat="1" applyFont="1" applyFill="1" applyBorder="1" applyAlignment="1">
      <alignment horizontal="center" vertical="center"/>
    </xf>
    <xf numFmtId="176" fontId="24" fillId="18" borderId="31" xfId="0" applyNumberFormat="1" applyFont="1" applyFill="1" applyBorder="1" applyAlignment="1">
      <alignment horizontal="center" vertical="center"/>
    </xf>
    <xf numFmtId="176" fontId="24" fillId="18" borderId="36" xfId="0" applyNumberFormat="1" applyFont="1" applyFill="1" applyBorder="1" applyAlignment="1">
      <alignment horizontal="center" vertical="center"/>
    </xf>
    <xf numFmtId="176" fontId="0" fillId="0" borderId="0" xfId="0" applyNumberFormat="1" applyAlignment="1">
      <alignment vertical="center"/>
    </xf>
    <xf numFmtId="2" fontId="25" fillId="12" borderId="1" xfId="46" applyNumberFormat="1" applyFont="1" applyFill="1" applyBorder="1" applyAlignment="1" applyProtection="1">
      <alignment horizontal="center" vertical="center" wrapText="1"/>
      <protection hidden="1"/>
    </xf>
    <xf numFmtId="169" fontId="35" fillId="22" borderId="21" xfId="0" applyNumberFormat="1" applyFont="1" applyFill="1" applyBorder="1" applyAlignment="1">
      <alignment horizontal="center" vertical="center"/>
    </xf>
    <xf numFmtId="173" fontId="0" fillId="13" borderId="21" xfId="0" applyNumberFormat="1" applyFill="1" applyBorder="1" applyAlignment="1">
      <alignment horizontal="center" vertical="center"/>
    </xf>
    <xf numFmtId="173" fontId="0" fillId="19" borderId="21" xfId="0" applyNumberFormat="1" applyFill="1" applyBorder="1" applyAlignment="1">
      <alignment horizontal="center" vertical="center"/>
    </xf>
    <xf numFmtId="169" fontId="23" fillId="0" borderId="1" xfId="0" applyNumberFormat="1" applyFont="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73" fontId="0" fillId="14" borderId="1" xfId="0" applyNumberFormat="1" applyFill="1" applyBorder="1" applyAlignment="1">
      <alignment horizontal="center" vertical="center"/>
    </xf>
    <xf numFmtId="175" fontId="0" fillId="13" borderId="1" xfId="0" applyNumberFormat="1" applyFill="1" applyBorder="1" applyAlignment="1">
      <alignment horizontal="center" vertical="center"/>
    </xf>
    <xf numFmtId="173" fontId="24" fillId="18" borderId="33" xfId="0" applyNumberFormat="1" applyFont="1" applyFill="1" applyBorder="1" applyAlignment="1">
      <alignment horizontal="center" vertical="center" wrapText="1"/>
    </xf>
    <xf numFmtId="173" fontId="24" fillId="18" borderId="33" xfId="0" applyNumberFormat="1" applyFont="1" applyFill="1" applyBorder="1" applyAlignment="1">
      <alignment horizontal="center" vertical="center"/>
    </xf>
    <xf numFmtId="173" fontId="24" fillId="18" borderId="37" xfId="0" applyNumberFormat="1" applyFont="1" applyFill="1" applyBorder="1" applyAlignment="1">
      <alignment horizontal="center" vertical="center" wrapText="1"/>
    </xf>
    <xf numFmtId="173" fontId="24" fillId="18" borderId="32" xfId="0" applyNumberFormat="1" applyFont="1" applyFill="1" applyBorder="1" applyAlignment="1">
      <alignment horizontal="center" vertical="center" wrapText="1"/>
    </xf>
    <xf numFmtId="173" fontId="35" fillId="23" borderId="21" xfId="0" applyNumberFormat="1" applyFont="1" applyFill="1" applyBorder="1" applyAlignment="1">
      <alignment horizontal="center" vertical="center"/>
    </xf>
    <xf numFmtId="0" fontId="6" fillId="0" borderId="1" xfId="0" applyFont="1" applyBorder="1" applyAlignment="1" applyProtection="1">
      <alignment horizontal="left" vertical="center" wrapText="1"/>
      <protection locked="0"/>
    </xf>
    <xf numFmtId="166" fontId="23" fillId="0" borderId="1" xfId="0" applyNumberFormat="1" applyFont="1" applyBorder="1" applyAlignment="1">
      <alignment horizontal="center" vertical="center"/>
    </xf>
    <xf numFmtId="172" fontId="0" fillId="0" borderId="1" xfId="0" applyNumberFormat="1" applyBorder="1" applyAlignment="1">
      <alignment horizontal="center" vertical="center"/>
    </xf>
    <xf numFmtId="170" fontId="0" fillId="0" borderId="1" xfId="0" applyNumberFormat="1" applyBorder="1" applyAlignment="1">
      <alignment horizontal="center" vertical="center"/>
    </xf>
    <xf numFmtId="2" fontId="24" fillId="18" borderId="33" xfId="0" applyNumberFormat="1" applyFont="1" applyFill="1" applyBorder="1" applyAlignment="1">
      <alignment horizontal="center" vertical="center" wrapText="1"/>
    </xf>
    <xf numFmtId="2" fontId="24" fillId="18" borderId="37" xfId="0" applyNumberFormat="1" applyFont="1" applyFill="1" applyBorder="1" applyAlignment="1">
      <alignment horizontal="center" vertical="center" wrapText="1"/>
    </xf>
    <xf numFmtId="2" fontId="0" fillId="13" borderId="21" xfId="0" applyNumberFormat="1" applyFill="1" applyBorder="1" applyAlignment="1">
      <alignment horizontal="center" vertical="center"/>
    </xf>
    <xf numFmtId="2" fontId="0" fillId="13" borderId="1" xfId="0" applyNumberFormat="1" applyFill="1" applyBorder="1" applyAlignment="1">
      <alignment horizontal="center" vertical="center"/>
    </xf>
    <xf numFmtId="2" fontId="0" fillId="0" borderId="0" xfId="0" applyNumberFormat="1" applyAlignment="1">
      <alignment vertical="center"/>
    </xf>
    <xf numFmtId="2" fontId="24" fillId="18" borderId="37" xfId="0" applyNumberFormat="1" applyFont="1" applyFill="1" applyBorder="1" applyAlignment="1">
      <alignment horizontal="center" vertical="center"/>
    </xf>
    <xf numFmtId="1" fontId="24" fillId="18" borderId="33" xfId="0" applyNumberFormat="1" applyFont="1" applyFill="1" applyBorder="1" applyAlignment="1">
      <alignment horizontal="center" vertical="center" wrapText="1"/>
    </xf>
    <xf numFmtId="1" fontId="24" fillId="18" borderId="37" xfId="0" applyNumberFormat="1" applyFont="1" applyFill="1" applyBorder="1" applyAlignment="1">
      <alignment horizontal="center" vertical="center" wrapText="1"/>
    </xf>
    <xf numFmtId="1" fontId="0" fillId="13" borderId="21"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0" borderId="0" xfId="0" applyNumberFormat="1" applyAlignment="1">
      <alignment vertical="center"/>
    </xf>
    <xf numFmtId="1" fontId="24" fillId="18" borderId="33" xfId="0" applyNumberFormat="1" applyFont="1" applyFill="1" applyBorder="1" applyAlignment="1">
      <alignment horizontal="center" vertical="center"/>
    </xf>
    <xf numFmtId="1" fontId="24" fillId="18" borderId="37" xfId="0" applyNumberFormat="1" applyFont="1" applyFill="1" applyBorder="1" applyAlignment="1">
      <alignment horizontal="center" vertical="center"/>
    </xf>
    <xf numFmtId="1" fontId="24" fillId="18" borderId="34" xfId="0" applyNumberFormat="1" applyFont="1" applyFill="1" applyBorder="1" applyAlignment="1">
      <alignment horizontal="center" vertical="center" wrapText="1"/>
    </xf>
    <xf numFmtId="172" fontId="0" fillId="13" borderId="1" xfId="0" applyNumberFormat="1" applyFill="1" applyBorder="1" applyAlignment="1">
      <alignment horizontal="center" vertical="center"/>
    </xf>
    <xf numFmtId="2" fontId="24" fillId="18" borderId="34" xfId="0" applyNumberFormat="1" applyFont="1" applyFill="1" applyBorder="1" applyAlignment="1">
      <alignment horizontal="center" vertical="center" wrapText="1"/>
    </xf>
    <xf numFmtId="1" fontId="25" fillId="11" borderId="1" xfId="46" applyNumberFormat="1" applyFont="1" applyFill="1" applyBorder="1" applyAlignment="1" applyProtection="1">
      <alignment horizontal="center" vertical="center" wrapText="1"/>
      <protection hidden="1"/>
    </xf>
    <xf numFmtId="172" fontId="24" fillId="18" borderId="33" xfId="0" applyNumberFormat="1" applyFont="1" applyFill="1" applyBorder="1" applyAlignment="1">
      <alignment horizontal="center" vertical="center" wrapText="1"/>
    </xf>
    <xf numFmtId="172" fontId="24" fillId="18" borderId="37" xfId="0" applyNumberFormat="1" applyFont="1" applyFill="1" applyBorder="1" applyAlignment="1">
      <alignment horizontal="center" vertical="center"/>
    </xf>
    <xf numFmtId="172" fontId="0" fillId="13" borderId="21" xfId="0" applyNumberFormat="1" applyFill="1" applyBorder="1" applyAlignment="1">
      <alignment horizontal="center" vertical="center"/>
    </xf>
    <xf numFmtId="172" fontId="0" fillId="0" borderId="0" xfId="0" applyNumberFormat="1" applyAlignment="1">
      <alignment vertical="center"/>
    </xf>
    <xf numFmtId="175" fontId="0" fillId="0" borderId="1" xfId="0" applyNumberFormat="1" applyBorder="1" applyAlignment="1">
      <alignment horizontal="center" vertical="center"/>
    </xf>
    <xf numFmtId="169" fontId="35" fillId="0" borderId="21" xfId="0" applyNumberFormat="1" applyFont="1" applyBorder="1" applyAlignment="1">
      <alignment horizontal="center" vertical="center"/>
    </xf>
    <xf numFmtId="173" fontId="35"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173" fontId="0" fillId="0" borderId="1" xfId="0" applyNumberFormat="1" applyBorder="1" applyAlignment="1">
      <alignment horizontal="center" vertical="center"/>
    </xf>
    <xf numFmtId="0" fontId="3" fillId="8" borderId="14" xfId="0" applyFont="1" applyFill="1" applyBorder="1" applyAlignment="1" applyProtection="1">
      <alignment horizontal="center" vertical="center" wrapText="1"/>
      <protection locked="0"/>
    </xf>
    <xf numFmtId="0" fontId="20" fillId="8" borderId="14" xfId="0" applyFont="1" applyFill="1" applyBorder="1" applyAlignment="1">
      <alignment horizontal="center" vertical="center" wrapText="1"/>
    </xf>
    <xf numFmtId="0" fontId="3" fillId="8" borderId="14" xfId="0" applyFont="1" applyFill="1" applyBorder="1" applyAlignment="1" applyProtection="1">
      <alignment horizontal="center" vertical="top" wrapText="1"/>
      <protection locked="0"/>
    </xf>
    <xf numFmtId="166" fontId="3" fillId="8" borderId="14" xfId="0" applyNumberFormat="1" applyFont="1" applyFill="1" applyBorder="1" applyAlignment="1" applyProtection="1">
      <alignment horizontal="center" vertical="center" wrapText="1"/>
      <protection locked="0"/>
    </xf>
    <xf numFmtId="166" fontId="6" fillId="0" borderId="14" xfId="0" applyNumberFormat="1" applyFont="1" applyBorder="1" applyAlignment="1" applyProtection="1">
      <alignment horizontal="center" vertical="center" wrapText="1"/>
      <protection locked="0"/>
    </xf>
    <xf numFmtId="0" fontId="6" fillId="0" borderId="14" xfId="0" applyFont="1" applyBorder="1" applyAlignment="1" applyProtection="1">
      <alignment horizontal="center" vertical="center" wrapText="1"/>
      <protection locked="0"/>
    </xf>
    <xf numFmtId="20" fontId="6" fillId="0" borderId="14" xfId="0" applyNumberFormat="1" applyFont="1" applyBorder="1" applyAlignment="1" applyProtection="1">
      <alignment horizontal="center" vertical="center" wrapText="1"/>
      <protection locked="0"/>
    </xf>
    <xf numFmtId="0" fontId="21" fillId="0" borderId="14" xfId="0" applyFont="1" applyBorder="1" applyAlignment="1">
      <alignment horizontal="center" vertical="center" wrapText="1"/>
    </xf>
    <xf numFmtId="0" fontId="6" fillId="0" borderId="14" xfId="0" applyFont="1" applyBorder="1" applyAlignment="1" applyProtection="1">
      <alignment horizontal="left" vertical="center" wrapText="1"/>
      <protection locked="0"/>
    </xf>
    <xf numFmtId="20" fontId="6" fillId="0" borderId="1" xfId="0" applyNumberFormat="1" applyFont="1" applyBorder="1" applyAlignment="1" applyProtection="1">
      <alignment horizontal="center" vertical="center" wrapText="1"/>
      <protection locked="0"/>
    </xf>
    <xf numFmtId="166" fontId="6" fillId="0" borderId="1" xfId="0" applyNumberFormat="1" applyFont="1" applyBorder="1" applyAlignment="1" applyProtection="1">
      <alignment horizontal="center" vertical="center" wrapText="1"/>
      <protection locked="0"/>
    </xf>
    <xf numFmtId="170" fontId="25" fillId="12" borderId="1" xfId="46" applyNumberFormat="1" applyFont="1" applyFill="1" applyBorder="1" applyAlignment="1" applyProtection="1">
      <alignment horizontal="center" vertical="center" wrapText="1"/>
      <protection hidden="1"/>
    </xf>
    <xf numFmtId="20" fontId="6" fillId="24" borderId="14" xfId="0" applyNumberFormat="1" applyFont="1" applyFill="1" applyBorder="1" applyAlignment="1" applyProtection="1">
      <alignment horizontal="center" vertical="center" wrapText="1"/>
      <protection locked="0"/>
    </xf>
    <xf numFmtId="166" fontId="28" fillId="0" borderId="0" xfId="0" applyNumberFormat="1" applyFont="1" applyAlignment="1">
      <alignment horizontal="center" vertical="center"/>
    </xf>
    <xf numFmtId="1" fontId="26" fillId="15" borderId="18" xfId="48" applyNumberFormat="1" applyFont="1" applyFill="1" applyBorder="1" applyAlignment="1" applyProtection="1">
      <alignment horizontal="center" vertical="center" wrapText="1"/>
      <protection hidden="1"/>
    </xf>
    <xf numFmtId="2" fontId="26" fillId="25" borderId="1" xfId="49" applyNumberFormat="1" applyFont="1" applyFill="1" applyBorder="1" applyAlignment="1" applyProtection="1">
      <alignment horizontal="center" vertical="center" wrapText="1"/>
      <protection hidden="1"/>
    </xf>
    <xf numFmtId="1" fontId="26" fillId="25" borderId="1" xfId="49" applyNumberFormat="1" applyFont="1" applyFill="1" applyBorder="1" applyAlignment="1" applyProtection="1">
      <alignment horizontal="center" vertical="center" wrapText="1"/>
      <protection hidden="1"/>
    </xf>
    <xf numFmtId="171" fontId="25" fillId="25" borderId="1" xfId="46" applyNumberFormat="1" applyFont="1" applyFill="1" applyBorder="1" applyAlignment="1" applyProtection="1">
      <alignment horizontal="center" vertical="center" wrapText="1"/>
      <protection hidden="1"/>
    </xf>
    <xf numFmtId="1" fontId="25" fillId="25" borderId="1" xfId="46" applyNumberFormat="1" applyFont="1" applyFill="1" applyBorder="1" applyAlignment="1" applyProtection="1">
      <alignment horizontal="center" vertical="center" wrapText="1"/>
      <protection hidden="1"/>
    </xf>
    <xf numFmtId="0" fontId="3" fillId="25" borderId="1" xfId="0" applyFont="1" applyFill="1" applyBorder="1" applyAlignment="1">
      <alignment horizontal="center" vertical="center" wrapText="1"/>
    </xf>
    <xf numFmtId="1" fontId="0" fillId="0" borderId="21" xfId="0" applyNumberFormat="1" applyBorder="1" applyAlignment="1">
      <alignment horizontal="center" vertical="center"/>
    </xf>
    <xf numFmtId="171" fontId="26" fillId="25" borderId="1" xfId="49" applyNumberFormat="1" applyFont="1" applyFill="1" applyBorder="1" applyAlignment="1" applyProtection="1">
      <alignment horizontal="center" vertical="center" wrapText="1"/>
      <protection hidden="1"/>
    </xf>
    <xf numFmtId="172" fontId="25" fillId="25" borderId="1" xfId="46" applyNumberFormat="1" applyFont="1" applyFill="1" applyBorder="1" applyAlignment="1" applyProtection="1">
      <alignment horizontal="center" vertical="center" wrapText="1"/>
      <protection hidden="1"/>
    </xf>
    <xf numFmtId="2" fontId="25" fillId="11" borderId="1" xfId="46" applyNumberFormat="1" applyFont="1" applyFill="1" applyBorder="1" applyAlignment="1" applyProtection="1">
      <alignment horizontal="center" vertical="center" wrapText="1"/>
      <protection hidden="1"/>
    </xf>
    <xf numFmtId="1" fontId="25" fillId="11" borderId="1" xfId="46" applyNumberFormat="1" applyFont="1" applyFill="1" applyBorder="1" applyAlignment="1" applyProtection="1">
      <alignment horizontal="center" vertical="center"/>
      <protection hidden="1"/>
    </xf>
    <xf numFmtId="1" fontId="26" fillId="9" borderId="1" xfId="48" applyNumberFormat="1" applyFont="1" applyFill="1" applyBorder="1" applyAlignment="1" applyProtection="1">
      <alignment horizontal="center" vertical="center"/>
      <protection hidden="1"/>
    </xf>
    <xf numFmtId="1" fontId="26" fillId="10" borderId="1" xfId="49" applyNumberFormat="1" applyFont="1" applyFill="1" applyBorder="1" applyAlignment="1" applyProtection="1">
      <alignment horizontal="center" vertical="center"/>
      <protection hidden="1"/>
    </xf>
    <xf numFmtId="166" fontId="28" fillId="0" borderId="1" xfId="0" applyNumberFormat="1" applyFont="1" applyBorder="1" applyAlignment="1">
      <alignment horizontal="center" vertical="center"/>
    </xf>
    <xf numFmtId="169" fontId="28" fillId="0" borderId="1" xfId="0" applyNumberFormat="1" applyFont="1" applyBorder="1" applyAlignment="1">
      <alignment horizontal="center" vertical="center"/>
    </xf>
    <xf numFmtId="1" fontId="25" fillId="0" borderId="1" xfId="46" applyNumberFormat="1" applyFont="1" applyFill="1" applyBorder="1" applyAlignment="1" applyProtection="1">
      <alignment horizontal="center" vertical="center"/>
      <protection hidden="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 fontId="26" fillId="0" borderId="1" xfId="48" applyNumberFormat="1" applyFont="1" applyFill="1" applyBorder="1" applyAlignment="1" applyProtection="1">
      <alignment horizontal="center" vertical="center"/>
      <protection hidden="1"/>
    </xf>
    <xf numFmtId="1" fontId="26" fillId="15" borderId="20" xfId="48" applyNumberFormat="1" applyFont="1" applyFill="1" applyBorder="1" applyAlignment="1" applyProtection="1">
      <alignment horizontal="center" vertical="center" wrapText="1"/>
      <protection hidden="1"/>
    </xf>
    <xf numFmtId="1" fontId="26" fillId="15" borderId="21" xfId="48" applyNumberFormat="1" applyFont="1" applyFill="1" applyBorder="1" applyAlignment="1" applyProtection="1">
      <alignment horizontal="center" vertical="center" wrapText="1"/>
      <protection hidden="1"/>
    </xf>
    <xf numFmtId="1" fontId="26" fillId="18" borderId="1" xfId="48" applyNumberFormat="1" applyFont="1" applyFill="1" applyBorder="1" applyAlignment="1" applyProtection="1">
      <alignment horizontal="center" vertical="center" wrapText="1"/>
      <protection hidden="1"/>
    </xf>
    <xf numFmtId="1" fontId="26" fillId="18" borderId="1" xfId="48" applyNumberFormat="1" applyFont="1" applyFill="1" applyBorder="1" applyAlignment="1" applyProtection="1">
      <alignment horizontal="center" vertical="center"/>
      <protection hidden="1"/>
    </xf>
    <xf numFmtId="1" fontId="0" fillId="18" borderId="1" xfId="0" applyNumberFormat="1" applyFill="1" applyBorder="1" applyAlignment="1">
      <alignment horizontal="center" vertical="center"/>
    </xf>
    <xf numFmtId="1" fontId="0" fillId="18" borderId="0" xfId="0" applyNumberFormat="1" applyFill="1" applyAlignment="1">
      <alignment horizontal="center" vertical="center"/>
    </xf>
    <xf numFmtId="2" fontId="26" fillId="18" borderId="1" xfId="49" applyNumberFormat="1" applyFont="1" applyFill="1" applyBorder="1" applyAlignment="1" applyProtection="1">
      <alignment horizontal="center" vertical="center" wrapText="1"/>
      <protection hidden="1"/>
    </xf>
    <xf numFmtId="170" fontId="25" fillId="18" borderId="1" xfId="46" applyNumberFormat="1" applyFont="1" applyFill="1" applyBorder="1" applyAlignment="1" applyProtection="1">
      <alignment horizontal="center" vertical="center" wrapText="1"/>
      <protection hidden="1"/>
    </xf>
    <xf numFmtId="2" fontId="25" fillId="18" borderId="1" xfId="46" applyNumberFormat="1" applyFont="1" applyFill="1" applyBorder="1" applyAlignment="1" applyProtection="1">
      <alignment horizontal="center" vertical="center" wrapText="1"/>
      <protection hidden="1"/>
    </xf>
    <xf numFmtId="171" fontId="25" fillId="18" borderId="1" xfId="46" applyNumberFormat="1" applyFont="1" applyFill="1" applyBorder="1" applyAlignment="1" applyProtection="1">
      <alignment horizontal="center" vertical="center" wrapText="1"/>
      <protection hidden="1"/>
    </xf>
    <xf numFmtId="1" fontId="25" fillId="18" borderId="1" xfId="46" applyNumberFormat="1" applyFont="1" applyFill="1" applyBorder="1" applyAlignment="1" applyProtection="1">
      <alignment horizontal="center" vertical="center" wrapText="1"/>
      <protection hidden="1"/>
    </xf>
    <xf numFmtId="171" fontId="26" fillId="0" borderId="1" xfId="49" applyNumberFormat="1" applyFont="1" applyFill="1" applyBorder="1" applyAlignment="1" applyProtection="1">
      <alignment horizontal="center" vertical="center" wrapText="1"/>
      <protection hidden="1"/>
    </xf>
    <xf numFmtId="171" fontId="26" fillId="0" borderId="1" xfId="49" applyNumberFormat="1" applyFont="1" applyFill="1" applyBorder="1" applyAlignment="1" applyProtection="1">
      <alignment horizontal="center" vertical="center"/>
      <protection hidden="1"/>
    </xf>
    <xf numFmtId="170" fontId="26" fillId="10" borderId="18" xfId="49" applyNumberFormat="1" applyFont="1" applyFill="1" applyBorder="1" applyAlignment="1" applyProtection="1">
      <alignment horizontal="center" vertical="center" wrapText="1"/>
      <protection hidden="1"/>
    </xf>
    <xf numFmtId="170" fontId="26" fillId="10" borderId="19" xfId="49" applyNumberFormat="1" applyFont="1" applyFill="1" applyBorder="1" applyAlignment="1" applyProtection="1">
      <alignment horizontal="center" vertical="center" wrapText="1"/>
      <protection hidden="1"/>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1" xfId="0" applyBorder="1" applyAlignment="1">
      <alignment horizontal="center" vertical="center" wrapText="1"/>
    </xf>
    <xf numFmtId="0" fontId="0" fillId="26" borderId="1" xfId="0" applyFill="1" applyBorder="1" applyAlignment="1">
      <alignment horizontal="center" vertical="center"/>
    </xf>
    <xf numFmtId="170" fontId="26" fillId="2" borderId="1" xfId="48" applyNumberFormat="1" applyFont="1" applyFill="1" applyBorder="1" applyAlignment="1" applyProtection="1">
      <alignment horizontal="center" vertical="center"/>
      <protection hidden="1"/>
    </xf>
    <xf numFmtId="0" fontId="23" fillId="0" borderId="0" xfId="0" applyFont="1" applyAlignment="1">
      <alignment horizontal="center" vertical="center" wrapText="1"/>
    </xf>
    <xf numFmtId="170" fontId="25" fillId="0" borderId="18" xfId="46" applyNumberFormat="1" applyFont="1" applyFill="1" applyBorder="1" applyAlignment="1" applyProtection="1">
      <alignment horizontal="center" vertical="center" wrapText="1"/>
      <protection hidden="1"/>
    </xf>
    <xf numFmtId="170" fontId="25" fillId="0" borderId="19" xfId="46" applyNumberFormat="1" applyFont="1" applyFill="1" applyBorder="1" applyAlignment="1" applyProtection="1">
      <alignment horizontal="center" vertical="center" wrapText="1"/>
      <protection hidden="1"/>
    </xf>
    <xf numFmtId="170" fontId="25" fillId="0" borderId="20" xfId="46" applyNumberFormat="1" applyFont="1" applyFill="1" applyBorder="1" applyAlignment="1" applyProtection="1">
      <alignment horizontal="center" vertical="center" wrapText="1"/>
      <protection hidden="1"/>
    </xf>
    <xf numFmtId="0" fontId="3" fillId="0" borderId="18"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19" xfId="0" applyFont="1" applyBorder="1" applyAlignment="1">
      <alignment horizontal="center" vertical="center" wrapText="1"/>
    </xf>
    <xf numFmtId="170" fontId="26" fillId="0" borderId="19" xfId="49" applyNumberFormat="1" applyFont="1" applyFill="1" applyBorder="1" applyAlignment="1" applyProtection="1">
      <alignment horizontal="center" vertical="center" wrapText="1"/>
      <protection hidden="1"/>
    </xf>
    <xf numFmtId="170" fontId="26" fillId="0" borderId="20" xfId="49" applyNumberFormat="1" applyFont="1" applyFill="1" applyBorder="1" applyAlignment="1" applyProtection="1">
      <alignment horizontal="center" vertical="center" wrapText="1"/>
      <protection hidden="1"/>
    </xf>
    <xf numFmtId="1" fontId="26" fillId="0" borderId="1" xfId="49" applyNumberFormat="1" applyFont="1" applyFill="1" applyBorder="1" applyAlignment="1" applyProtection="1">
      <alignment horizontal="center" vertical="center" wrapText="1"/>
      <protection hidden="1"/>
    </xf>
    <xf numFmtId="2" fontId="26" fillId="0" borderId="1" xfId="49" applyNumberFormat="1" applyFont="1" applyFill="1" applyBorder="1" applyAlignment="1" applyProtection="1">
      <alignment horizontal="center" vertical="center" wrapText="1"/>
      <protection hidden="1"/>
    </xf>
    <xf numFmtId="172" fontId="25" fillId="0" borderId="1" xfId="46" applyNumberFormat="1" applyFont="1" applyFill="1" applyBorder="1" applyAlignment="1" applyProtection="1">
      <alignment horizontal="center" vertical="center" wrapText="1"/>
      <protection hidden="1"/>
    </xf>
    <xf numFmtId="170" fontId="25" fillId="0" borderId="1" xfId="46" applyNumberFormat="1" applyFont="1" applyFill="1" applyBorder="1" applyAlignment="1" applyProtection="1">
      <alignment horizontal="center" vertical="center" wrapText="1"/>
      <protection hidden="1"/>
    </xf>
    <xf numFmtId="2" fontId="25" fillId="0" borderId="1" xfId="46" applyNumberFormat="1" applyFont="1" applyFill="1" applyBorder="1" applyAlignment="1" applyProtection="1">
      <alignment horizontal="center" vertical="center" wrapText="1"/>
      <protection hidden="1"/>
    </xf>
    <xf numFmtId="171" fontId="25" fillId="0" borderId="1" xfId="46" applyNumberFormat="1" applyFont="1" applyFill="1" applyBorder="1" applyAlignment="1" applyProtection="1">
      <alignment horizontal="center" vertical="center" wrapText="1"/>
      <protection hidden="1"/>
    </xf>
    <xf numFmtId="1" fontId="25" fillId="0" borderId="1" xfId="46" applyNumberFormat="1" applyFont="1" applyFill="1" applyBorder="1" applyAlignment="1" applyProtection="1">
      <alignment horizontal="center" vertical="center" wrapText="1"/>
      <protection hidden="1"/>
    </xf>
    <xf numFmtId="1" fontId="26" fillId="0" borderId="1" xfId="47" applyNumberFormat="1" applyFont="1" applyFill="1" applyBorder="1" applyAlignment="1" applyProtection="1">
      <alignment horizontal="center" vertical="center"/>
      <protection hidden="1"/>
    </xf>
    <xf numFmtId="1" fontId="26" fillId="0" borderId="1" xfId="49" applyNumberFormat="1" applyFont="1" applyFill="1" applyBorder="1" applyAlignment="1" applyProtection="1">
      <alignment horizontal="center" vertical="center"/>
      <protection hidden="1"/>
    </xf>
    <xf numFmtId="2" fontId="26" fillId="0" borderId="1" xfId="49" applyNumberFormat="1" applyFont="1" applyFill="1" applyBorder="1" applyAlignment="1" applyProtection="1">
      <alignment horizontal="center" vertical="center"/>
      <protection hidden="1"/>
    </xf>
    <xf numFmtId="172" fontId="25" fillId="0" borderId="1" xfId="46" applyNumberFormat="1" applyFont="1" applyFill="1" applyBorder="1" applyAlignment="1" applyProtection="1">
      <alignment horizontal="center" vertical="center"/>
      <protection hidden="1"/>
    </xf>
    <xf numFmtId="170" fontId="25" fillId="0" borderId="1" xfId="46" applyNumberFormat="1" applyFont="1" applyFill="1" applyBorder="1" applyAlignment="1" applyProtection="1">
      <alignment horizontal="center" vertical="center"/>
      <protection hidden="1"/>
    </xf>
    <xf numFmtId="2" fontId="25" fillId="0" borderId="1" xfId="46" applyNumberFormat="1" applyFont="1" applyFill="1" applyBorder="1" applyAlignment="1" applyProtection="1">
      <alignment horizontal="center" vertical="center"/>
      <protection hidden="1"/>
    </xf>
    <xf numFmtId="171" fontId="25" fillId="0" borderId="1" xfId="46" applyNumberFormat="1" applyFont="1" applyFill="1" applyBorder="1" applyAlignment="1" applyProtection="1">
      <alignment horizontal="center" vertical="center"/>
      <protection hidden="1"/>
    </xf>
    <xf numFmtId="166" fontId="23" fillId="0" borderId="21" xfId="0" applyNumberFormat="1" applyFont="1" applyBorder="1" applyAlignment="1">
      <alignment horizontal="center" vertical="center"/>
    </xf>
    <xf numFmtId="171" fontId="0" fillId="0" borderId="21" xfId="0" applyNumberFormat="1" applyBorder="1" applyAlignment="1">
      <alignment horizontal="center" vertical="center"/>
    </xf>
    <xf numFmtId="171" fontId="0" fillId="0" borderId="1" xfId="0" applyNumberFormat="1" applyBorder="1" applyAlignment="1">
      <alignment horizontal="center" vertical="center"/>
    </xf>
    <xf numFmtId="171" fontId="0" fillId="0" borderId="0" xfId="0" applyNumberFormat="1" applyAlignment="1">
      <alignment horizontal="center" vertical="center"/>
    </xf>
    <xf numFmtId="172" fontId="0" fillId="0" borderId="0" xfId="0" applyNumberFormat="1" applyAlignment="1">
      <alignment horizontal="center" vertical="center"/>
    </xf>
    <xf numFmtId="170" fontId="0" fillId="0" borderId="0" xfId="0" applyNumberFormat="1" applyAlignment="1">
      <alignment horizontal="center" vertical="center"/>
    </xf>
    <xf numFmtId="0" fontId="0" fillId="0" borderId="1" xfId="0" quotePrefix="1" applyBorder="1" applyAlignment="1">
      <alignment horizontal="center" vertical="center"/>
    </xf>
    <xf numFmtId="0" fontId="0" fillId="0" borderId="0" xfId="0" applyAlignment="1">
      <alignment vertical="center" wrapText="1"/>
    </xf>
    <xf numFmtId="0" fontId="36" fillId="0" borderId="1" xfId="0" applyFont="1" applyBorder="1" applyAlignment="1">
      <alignment horizontal="center" vertical="center" wrapText="1"/>
    </xf>
    <xf numFmtId="170" fontId="26" fillId="18" borderId="19" xfId="49" applyNumberFormat="1" applyFont="1" applyFill="1" applyBorder="1" applyAlignment="1" applyProtection="1">
      <alignment horizontal="center" vertical="center" wrapText="1"/>
      <protection hidden="1"/>
    </xf>
    <xf numFmtId="2" fontId="26" fillId="18" borderId="1" xfId="49" applyNumberFormat="1" applyFont="1" applyFill="1" applyBorder="1" applyAlignment="1" applyProtection="1">
      <alignment horizontal="center" vertical="center"/>
      <protection hidden="1"/>
    </xf>
    <xf numFmtId="1" fontId="0" fillId="18" borderId="21" xfId="0" applyNumberFormat="1" applyFill="1" applyBorder="1" applyAlignment="1">
      <alignment horizontal="center" vertical="center"/>
    </xf>
    <xf numFmtId="2" fontId="0" fillId="18" borderId="0" xfId="0" applyNumberFormat="1" applyFill="1" applyAlignment="1">
      <alignment horizontal="center" vertical="center"/>
    </xf>
    <xf numFmtId="2" fontId="0" fillId="18" borderId="1" xfId="0" applyNumberFormat="1" applyFill="1" applyBorder="1" applyAlignment="1">
      <alignment horizontal="center" vertical="center"/>
    </xf>
    <xf numFmtId="170" fontId="25" fillId="18" borderId="19" xfId="46" applyNumberFormat="1" applyFont="1" applyFill="1" applyBorder="1" applyAlignment="1" applyProtection="1">
      <alignment horizontal="center" vertical="center" wrapText="1"/>
      <protection hidden="1"/>
    </xf>
    <xf numFmtId="2" fontId="25" fillId="18" borderId="1" xfId="46" applyNumberFormat="1" applyFont="1" applyFill="1" applyBorder="1" applyAlignment="1" applyProtection="1">
      <alignment horizontal="center" vertical="center"/>
      <protection hidden="1"/>
    </xf>
    <xf numFmtId="171" fontId="0" fillId="18" borderId="21" xfId="0" applyNumberFormat="1" applyFill="1" applyBorder="1" applyAlignment="1">
      <alignment horizontal="center" vertical="center"/>
    </xf>
    <xf numFmtId="2" fontId="0" fillId="18" borderId="14" xfId="0" applyNumberFormat="1" applyFill="1" applyBorder="1" applyAlignment="1">
      <alignment horizontal="center" vertical="center"/>
    </xf>
    <xf numFmtId="170" fontId="0" fillId="0" borderId="14" xfId="0" applyNumberFormat="1" applyBorder="1" applyAlignment="1">
      <alignment horizontal="center" vertical="center"/>
    </xf>
    <xf numFmtId="0" fontId="3" fillId="18" borderId="20" xfId="0" applyFont="1" applyFill="1" applyBorder="1" applyAlignment="1">
      <alignment horizontal="center" vertical="center" wrapText="1"/>
    </xf>
    <xf numFmtId="0" fontId="7" fillId="0" borderId="0" xfId="0" applyFont="1" applyAlignment="1" applyProtection="1">
      <alignment horizontal="left" vertical="center" wrapText="1"/>
      <protection locked="0"/>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42" xfId="0" applyBorder="1" applyAlignment="1">
      <alignment horizontal="center" vertical="center"/>
    </xf>
    <xf numFmtId="0" fontId="0" fillId="0" borderId="42" xfId="0" applyBorder="1" applyAlignment="1">
      <alignment horizontal="center" vertical="center" wrapText="1"/>
    </xf>
    <xf numFmtId="0" fontId="0" fillId="0" borderId="21" xfId="0" applyBorder="1" applyAlignment="1">
      <alignment horizontal="center" vertical="center" wrapText="1"/>
    </xf>
    <xf numFmtId="0" fontId="0" fillId="0" borderId="1" xfId="0" applyBorder="1" applyAlignment="1">
      <alignment horizontal="center" vertical="center" wrapText="1"/>
    </xf>
    <xf numFmtId="0" fontId="0" fillId="0" borderId="14" xfId="0" applyBorder="1" applyAlignment="1">
      <alignment horizontal="center" vertical="center" wrapText="1"/>
    </xf>
    <xf numFmtId="166" fontId="28" fillId="0" borderId="1" xfId="0" applyNumberFormat="1" applyFont="1" applyBorder="1" applyAlignment="1">
      <alignment horizontal="center" vertical="center" wrapText="1"/>
    </xf>
    <xf numFmtId="170" fontId="26" fillId="2" borderId="1" xfId="48" applyNumberFormat="1" applyFont="1" applyFill="1" applyBorder="1" applyAlignment="1" applyProtection="1">
      <alignment horizontal="center" vertical="center"/>
      <protection hidden="1"/>
    </xf>
    <xf numFmtId="0" fontId="23" fillId="0" borderId="27" xfId="0" applyFont="1" applyBorder="1" applyAlignment="1">
      <alignment horizontal="center" vertical="center" wrapText="1"/>
    </xf>
    <xf numFmtId="1" fontId="26" fillId="15" borderId="15" xfId="48" applyNumberFormat="1" applyFont="1" applyFill="1" applyBorder="1" applyAlignment="1" applyProtection="1">
      <alignment horizontal="center" vertical="center" wrapText="1"/>
      <protection hidden="1"/>
    </xf>
    <xf numFmtId="1" fontId="26" fillId="15" borderId="17" xfId="48" applyNumberFormat="1" applyFont="1" applyFill="1" applyBorder="1" applyAlignment="1" applyProtection="1">
      <alignment horizontal="center" vertical="center" wrapText="1"/>
      <protection hidden="1"/>
    </xf>
    <xf numFmtId="1" fontId="26" fillId="15" borderId="18" xfId="48" applyNumberFormat="1" applyFont="1" applyFill="1" applyBorder="1" applyAlignment="1" applyProtection="1">
      <alignment horizontal="center" vertical="center" wrapText="1"/>
      <protection hidden="1"/>
    </xf>
    <xf numFmtId="1" fontId="26" fillId="15" borderId="20" xfId="48" applyNumberFormat="1" applyFont="1" applyFill="1" applyBorder="1" applyAlignment="1" applyProtection="1">
      <alignment horizontal="center" vertical="center" wrapText="1"/>
      <protection hidden="1"/>
    </xf>
    <xf numFmtId="169" fontId="28" fillId="0" borderId="1" xfId="0" applyNumberFormat="1" applyFont="1" applyBorder="1" applyAlignment="1">
      <alignment horizontal="center" vertical="center" wrapText="1"/>
    </xf>
    <xf numFmtId="1" fontId="26" fillId="0" borderId="1" xfId="47" applyNumberFormat="1" applyFont="1" applyFill="1" applyBorder="1" applyAlignment="1" applyProtection="1">
      <alignment horizontal="center" vertical="center" wrapText="1"/>
      <protection hidden="1"/>
    </xf>
    <xf numFmtId="170" fontId="26" fillId="2" borderId="15" xfId="48" applyNumberFormat="1" applyFont="1" applyFill="1" applyBorder="1" applyAlignment="1" applyProtection="1">
      <alignment horizontal="center" vertical="center"/>
      <protection hidden="1"/>
    </xf>
    <xf numFmtId="170" fontId="26" fillId="2" borderId="16" xfId="48" applyNumberFormat="1" applyFont="1" applyFill="1" applyBorder="1" applyAlignment="1" applyProtection="1">
      <alignment horizontal="center" vertical="center"/>
      <protection hidden="1"/>
    </xf>
    <xf numFmtId="170" fontId="26" fillId="2" borderId="17" xfId="48" applyNumberFormat="1" applyFont="1" applyFill="1" applyBorder="1" applyAlignment="1" applyProtection="1">
      <alignment horizontal="center" vertical="center"/>
      <protection hidden="1"/>
    </xf>
    <xf numFmtId="170" fontId="26" fillId="2" borderId="18" xfId="48" applyNumberFormat="1" applyFont="1" applyFill="1" applyBorder="1" applyAlignment="1" applyProtection="1">
      <alignment horizontal="center" vertical="center"/>
      <protection hidden="1"/>
    </xf>
    <xf numFmtId="170" fontId="26" fillId="2" borderId="19" xfId="48" applyNumberFormat="1" applyFont="1" applyFill="1" applyBorder="1" applyAlignment="1" applyProtection="1">
      <alignment horizontal="center" vertical="center"/>
      <protection hidden="1"/>
    </xf>
    <xf numFmtId="170" fontId="26" fillId="2" borderId="20" xfId="48" applyNumberFormat="1" applyFont="1" applyFill="1" applyBorder="1" applyAlignment="1" applyProtection="1">
      <alignment horizontal="center" vertical="center"/>
      <protection hidden="1"/>
    </xf>
    <xf numFmtId="1" fontId="26" fillId="15" borderId="14" xfId="48" applyNumberFormat="1" applyFont="1" applyFill="1" applyBorder="1" applyAlignment="1" applyProtection="1">
      <alignment horizontal="center" vertical="center" wrapText="1"/>
      <protection hidden="1"/>
    </xf>
    <xf numFmtId="1" fontId="26" fillId="15" borderId="21" xfId="48" applyNumberFormat="1" applyFont="1" applyFill="1" applyBorder="1" applyAlignment="1" applyProtection="1">
      <alignment horizontal="center" vertical="center" wrapText="1"/>
      <protection hidden="1"/>
    </xf>
    <xf numFmtId="171" fontId="29" fillId="0" borderId="38" xfId="0" applyNumberFormat="1" applyFont="1" applyBorder="1" applyAlignment="1">
      <alignment horizontal="center" vertical="center" wrapText="1"/>
    </xf>
    <xf numFmtId="171" fontId="29" fillId="0" borderId="0" xfId="0" applyNumberFormat="1" applyFont="1" applyAlignment="1">
      <alignment horizontal="center" vertical="center" wrapText="1"/>
    </xf>
    <xf numFmtId="0" fontId="30" fillId="0" borderId="1" xfId="0" applyFont="1" applyBorder="1" applyAlignment="1">
      <alignment horizontal="center" vertical="center" wrapText="1"/>
    </xf>
    <xf numFmtId="0" fontId="30" fillId="0" borderId="14" xfId="0" applyFont="1" applyBorder="1" applyAlignment="1">
      <alignment horizontal="center" vertical="center" wrapText="1"/>
    </xf>
    <xf numFmtId="166" fontId="28" fillId="0" borderId="10" xfId="0" applyNumberFormat="1" applyFont="1" applyBorder="1" applyAlignment="1">
      <alignment horizontal="center" vertical="center"/>
    </xf>
    <xf numFmtId="166" fontId="28" fillId="0" borderId="0" xfId="0" applyNumberFormat="1" applyFont="1" applyAlignment="1">
      <alignment horizontal="center" vertical="center"/>
    </xf>
    <xf numFmtId="166" fontId="28" fillId="0" borderId="26" xfId="0" applyNumberFormat="1" applyFont="1" applyBorder="1" applyAlignment="1">
      <alignment horizontal="center" vertical="center"/>
    </xf>
    <xf numFmtId="166" fontId="28" fillId="0" borderId="19" xfId="0" applyNumberFormat="1" applyFont="1" applyBorder="1" applyAlignment="1">
      <alignment horizontal="center" vertical="center"/>
    </xf>
    <xf numFmtId="1" fontId="28" fillId="0" borderId="41" xfId="0" applyNumberFormat="1" applyFont="1" applyBorder="1" applyAlignment="1">
      <alignment horizontal="center" vertical="center"/>
    </xf>
    <xf numFmtId="0" fontId="23" fillId="0" borderId="16" xfId="0" applyFont="1" applyBorder="1" applyAlignment="1">
      <alignment horizontal="center" vertical="center" wrapText="1"/>
    </xf>
    <xf numFmtId="0" fontId="3" fillId="0" borderId="14" xfId="0" applyFont="1" applyBorder="1" applyAlignment="1">
      <alignment horizontal="center" vertical="center"/>
    </xf>
    <xf numFmtId="0" fontId="3" fillId="0" borderId="21" xfId="0" applyFont="1" applyBorder="1" applyAlignment="1">
      <alignment horizontal="center" vertical="center"/>
    </xf>
    <xf numFmtId="0" fontId="3" fillId="0" borderId="15"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20" xfId="0" applyFont="1" applyBorder="1" applyAlignment="1">
      <alignment horizontal="center" vertical="center"/>
    </xf>
    <xf numFmtId="170" fontId="25" fillId="0" borderId="15" xfId="46" applyNumberFormat="1" applyFont="1" applyFill="1" applyBorder="1" applyAlignment="1" applyProtection="1">
      <alignment horizontal="center" vertical="center" wrapText="1"/>
      <protection hidden="1"/>
    </xf>
    <xf numFmtId="170" fontId="25" fillId="0" borderId="16" xfId="46" applyNumberFormat="1" applyFont="1" applyFill="1" applyBorder="1" applyAlignment="1" applyProtection="1">
      <alignment horizontal="center" vertical="center" wrapText="1"/>
      <protection hidden="1"/>
    </xf>
    <xf numFmtId="170" fontId="25" fillId="0" borderId="17" xfId="46" applyNumberFormat="1" applyFont="1" applyFill="1" applyBorder="1" applyAlignment="1" applyProtection="1">
      <alignment horizontal="center" vertical="center" wrapText="1"/>
      <protection hidden="1"/>
    </xf>
    <xf numFmtId="170" fontId="25" fillId="0" borderId="18" xfId="46" applyNumberFormat="1" applyFont="1" applyFill="1" applyBorder="1" applyAlignment="1" applyProtection="1">
      <alignment horizontal="center" vertical="center" wrapText="1"/>
      <protection hidden="1"/>
    </xf>
    <xf numFmtId="170" fontId="25" fillId="0" borderId="19" xfId="46" applyNumberFormat="1" applyFont="1" applyFill="1" applyBorder="1" applyAlignment="1" applyProtection="1">
      <alignment horizontal="center" vertical="center" wrapText="1"/>
      <protection hidden="1"/>
    </xf>
    <xf numFmtId="170" fontId="25" fillId="0" borderId="20" xfId="46" applyNumberFormat="1" applyFont="1" applyFill="1" applyBorder="1" applyAlignment="1" applyProtection="1">
      <alignment horizontal="center" vertical="center" wrapText="1"/>
      <protection hidden="1"/>
    </xf>
    <xf numFmtId="170" fontId="26" fillId="10" borderId="15" xfId="49" applyNumberFormat="1" applyFont="1" applyFill="1" applyBorder="1" applyAlignment="1" applyProtection="1">
      <alignment horizontal="center" vertical="center" wrapText="1"/>
      <protection hidden="1"/>
    </xf>
    <xf numFmtId="170" fontId="26" fillId="10" borderId="16" xfId="49" applyNumberFormat="1" applyFont="1" applyFill="1" applyBorder="1" applyAlignment="1" applyProtection="1">
      <alignment horizontal="center" vertical="center" wrapText="1"/>
      <protection hidden="1"/>
    </xf>
    <xf numFmtId="170" fontId="26" fillId="10" borderId="17" xfId="49" applyNumberFormat="1" applyFont="1" applyFill="1" applyBorder="1" applyAlignment="1" applyProtection="1">
      <alignment horizontal="center" vertical="center" wrapText="1"/>
      <protection hidden="1"/>
    </xf>
    <xf numFmtId="170" fontId="26" fillId="10" borderId="18" xfId="49" applyNumberFormat="1" applyFont="1" applyFill="1" applyBorder="1" applyAlignment="1" applyProtection="1">
      <alignment horizontal="center" vertical="center" wrapText="1"/>
      <protection hidden="1"/>
    </xf>
    <xf numFmtId="170" fontId="26" fillId="10" borderId="19" xfId="49" applyNumberFormat="1" applyFont="1" applyFill="1" applyBorder="1" applyAlignment="1" applyProtection="1">
      <alignment horizontal="center" vertical="center" wrapText="1"/>
      <protection hidden="1"/>
    </xf>
    <xf numFmtId="170" fontId="26" fillId="10" borderId="20" xfId="49" applyNumberFormat="1" applyFont="1" applyFill="1" applyBorder="1" applyAlignment="1" applyProtection="1">
      <alignment horizontal="center" vertical="center" wrapText="1"/>
      <protection hidden="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3" fillId="0" borderId="17" xfId="0" applyFont="1" applyBorder="1" applyAlignment="1">
      <alignment horizontal="center" vertical="center" wrapText="1"/>
    </xf>
    <xf numFmtId="0" fontId="3" fillId="0" borderId="18"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16" xfId="0" applyFont="1" applyBorder="1" applyAlignment="1">
      <alignment horizontal="center" vertical="center"/>
    </xf>
    <xf numFmtId="0" fontId="3" fillId="0" borderId="19" xfId="0" applyFont="1" applyBorder="1" applyAlignment="1">
      <alignment horizontal="center" vertical="center"/>
    </xf>
    <xf numFmtId="0" fontId="31" fillId="16" borderId="0" xfId="0" applyFont="1" applyFill="1" applyAlignment="1">
      <alignment horizontal="center" vertical="center"/>
    </xf>
    <xf numFmtId="0" fontId="31" fillId="16" borderId="28" xfId="0" applyFont="1" applyFill="1" applyBorder="1" applyAlignment="1">
      <alignment horizontal="center" vertical="center"/>
    </xf>
    <xf numFmtId="0" fontId="32" fillId="17" borderId="3" xfId="0" quotePrefix="1" applyFont="1" applyFill="1" applyBorder="1" applyAlignment="1">
      <alignment horizontal="center" vertical="center"/>
    </xf>
    <xf numFmtId="0" fontId="32" fillId="17" borderId="39" xfId="0" quotePrefix="1" applyFont="1" applyFill="1" applyBorder="1" applyAlignment="1">
      <alignment horizontal="center" vertical="center"/>
    </xf>
    <xf numFmtId="0" fontId="32" fillId="17" borderId="40" xfId="0" quotePrefix="1" applyFont="1" applyFill="1" applyBorder="1" applyAlignment="1">
      <alignment horizontal="center" vertical="center"/>
    </xf>
    <xf numFmtId="173" fontId="33" fillId="16" borderId="7" xfId="0" applyNumberFormat="1" applyFont="1" applyFill="1" applyBorder="1" applyAlignment="1">
      <alignment horizontal="center" vertical="center"/>
    </xf>
    <xf numFmtId="173" fontId="33" fillId="16" borderId="29" xfId="0" applyNumberFormat="1" applyFont="1" applyFill="1" applyBorder="1" applyAlignment="1">
      <alignment horizontal="center" vertical="center"/>
    </xf>
    <xf numFmtId="166" fontId="23" fillId="20" borderId="22" xfId="0" applyNumberFormat="1" applyFont="1" applyFill="1" applyBorder="1" applyAlignment="1">
      <alignment horizontal="center" vertical="center"/>
    </xf>
    <xf numFmtId="166" fontId="23" fillId="20" borderId="23" xfId="0" applyNumberFormat="1" applyFont="1" applyFill="1" applyBorder="1" applyAlignment="1">
      <alignment horizontal="center" vertical="center"/>
    </xf>
    <xf numFmtId="166" fontId="23" fillId="20" borderId="24" xfId="0" applyNumberFormat="1" applyFont="1" applyFill="1" applyBorder="1" applyAlignment="1">
      <alignment horizontal="center" vertical="center"/>
    </xf>
    <xf numFmtId="168" fontId="15" fillId="2" borderId="10" xfId="0" applyNumberFormat="1" applyFont="1" applyFill="1" applyBorder="1" applyAlignment="1">
      <alignment horizontal="right" vertical="center"/>
    </xf>
    <xf numFmtId="168" fontId="15" fillId="2" borderId="13" xfId="0" applyNumberFormat="1" applyFont="1" applyFill="1" applyBorder="1" applyAlignment="1">
      <alignment horizontal="right" vertical="center"/>
    </xf>
    <xf numFmtId="168" fontId="15" fillId="2" borderId="0" xfId="0" applyNumberFormat="1" applyFont="1" applyFill="1" applyAlignment="1">
      <alignment horizontal="left" vertical="center"/>
    </xf>
    <xf numFmtId="168" fontId="15" fillId="2" borderId="9" xfId="0" applyNumberFormat="1" applyFont="1" applyFill="1" applyBorder="1" applyAlignment="1">
      <alignment horizontal="left" vertical="center"/>
    </xf>
    <xf numFmtId="168" fontId="15" fillId="2" borderId="6" xfId="0" applyNumberFormat="1" applyFont="1" applyFill="1" applyBorder="1" applyAlignment="1">
      <alignment horizontal="right" vertical="center"/>
    </xf>
    <xf numFmtId="168" fontId="15" fillId="2" borderId="7" xfId="0" applyNumberFormat="1" applyFont="1" applyFill="1" applyBorder="1" applyAlignment="1">
      <alignment horizontal="left" vertical="center"/>
    </xf>
    <xf numFmtId="168" fontId="15" fillId="2" borderId="12" xfId="0" applyNumberFormat="1" applyFont="1" applyFill="1" applyBorder="1" applyAlignment="1">
      <alignment horizontal="left" vertical="center"/>
    </xf>
    <xf numFmtId="168" fontId="15" fillId="2" borderId="11" xfId="0" applyNumberFormat="1" applyFont="1" applyFill="1" applyBorder="1" applyAlignment="1">
      <alignment horizontal="left"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168" fontId="17" fillId="2" borderId="6" xfId="0" applyNumberFormat="1" applyFont="1" applyFill="1" applyBorder="1" applyAlignment="1">
      <alignment horizontal="right" vertical="center"/>
    </xf>
    <xf numFmtId="168" fontId="17" fillId="2" borderId="10" xfId="0" applyNumberFormat="1" applyFont="1" applyFill="1" applyBorder="1" applyAlignment="1">
      <alignment horizontal="right" vertical="center"/>
    </xf>
    <xf numFmtId="168" fontId="17" fillId="2" borderId="7" xfId="0" applyNumberFormat="1" applyFont="1" applyFill="1" applyBorder="1" applyAlignment="1">
      <alignment horizontal="left" vertical="center"/>
    </xf>
    <xf numFmtId="168" fontId="17" fillId="2" borderId="0" xfId="0" applyNumberFormat="1" applyFont="1" applyFill="1" applyAlignment="1">
      <alignment horizontal="left" vertical="center"/>
    </xf>
    <xf numFmtId="168" fontId="17" fillId="2" borderId="13" xfId="0" applyNumberFormat="1" applyFont="1" applyFill="1" applyBorder="1" applyAlignment="1">
      <alignment horizontal="right" vertical="center"/>
    </xf>
    <xf numFmtId="168" fontId="17" fillId="2" borderId="9" xfId="0" applyNumberFormat="1" applyFont="1" applyFill="1" applyBorder="1" applyAlignment="1">
      <alignment horizontal="left" vertical="center"/>
    </xf>
  </cellXfs>
  <cellStyles count="50">
    <cellStyle name="20% - Accent5" xfId="47" builtinId="46"/>
    <cellStyle name="20% - Accent5 2" xfId="27" xr:uid="{00000000-0005-0000-0000-000001000000}"/>
    <cellStyle name="40% - Accent5" xfId="48" builtinId="47"/>
    <cellStyle name="40% - Accent5 2" xfId="28" xr:uid="{00000000-0005-0000-0000-000003000000}"/>
    <cellStyle name="60% - Accent1" xfId="46" builtinId="32"/>
    <cellStyle name="60% - Accent1 2" xfId="30" xr:uid="{00000000-0005-0000-0000-000005000000}"/>
    <cellStyle name="60% - Accent5" xfId="49" builtinId="48"/>
    <cellStyle name="60% - Accent5 2" xfId="29" xr:uid="{00000000-0005-0000-0000-000007000000}"/>
    <cellStyle name="Comma 4" xfId="8" xr:uid="{00000000-0005-0000-0000-000008000000}"/>
    <cellStyle name="Comma 4 2" xfId="43" xr:uid="{00000000-0005-0000-0000-000009000000}"/>
    <cellStyle name="Comma 4 3" xfId="44" xr:uid="{00000000-0005-0000-0000-00000A000000}"/>
    <cellStyle name="Comma 4 3 2" xfId="45" xr:uid="{00000000-0005-0000-0000-00000B000000}"/>
    <cellStyle name="Hyperlink 2" xfId="13" xr:uid="{00000000-0005-0000-0000-00000C000000}"/>
    <cellStyle name="Normal" xfId="0" builtinId="0"/>
    <cellStyle name="Normal 10" xfId="2" xr:uid="{00000000-0005-0000-0000-00000E000000}"/>
    <cellStyle name="Normal 10 2" xfId="3" xr:uid="{00000000-0005-0000-0000-00000F000000}"/>
    <cellStyle name="Normal 10 2 2" xfId="12" xr:uid="{00000000-0005-0000-0000-000010000000}"/>
    <cellStyle name="Normal 10 3" xfId="14" xr:uid="{00000000-0005-0000-0000-000011000000}"/>
    <cellStyle name="Normal 13" xfId="31" xr:uid="{00000000-0005-0000-0000-000012000000}"/>
    <cellStyle name="Normal 16" xfId="32" xr:uid="{00000000-0005-0000-0000-000013000000}"/>
    <cellStyle name="Normal 2" xfId="1" xr:uid="{00000000-0005-0000-0000-000014000000}"/>
    <cellStyle name="Normal 2 2" xfId="15" xr:uid="{00000000-0005-0000-0000-000015000000}"/>
    <cellStyle name="Normal 2 2 2" xfId="36" xr:uid="{00000000-0005-0000-0000-000016000000}"/>
    <cellStyle name="Normal 2 2 2 2" xfId="9" xr:uid="{00000000-0005-0000-0000-000017000000}"/>
    <cellStyle name="Normal 2 2 2 2 2" xfId="16" xr:uid="{00000000-0005-0000-0000-000018000000}"/>
    <cellStyle name="Normal 3" xfId="4" xr:uid="{00000000-0005-0000-0000-000019000000}"/>
    <cellStyle name="Normal 3 2" xfId="5" xr:uid="{00000000-0005-0000-0000-00001A000000}"/>
    <cellStyle name="Normal 3 2 2" xfId="17" xr:uid="{00000000-0005-0000-0000-00001B000000}"/>
    <cellStyle name="Normal 3 2 3" xfId="37" xr:uid="{00000000-0005-0000-0000-00001C000000}"/>
    <cellStyle name="Normal 3 3" xfId="18" xr:uid="{00000000-0005-0000-0000-00001D000000}"/>
    <cellStyle name="Normal 35" xfId="6" xr:uid="{00000000-0005-0000-0000-00001E000000}"/>
    <cellStyle name="Normal 35 2" xfId="19" xr:uid="{00000000-0005-0000-0000-00001F000000}"/>
    <cellStyle name="Normal 35_OW-Update" xfId="20" xr:uid="{00000000-0005-0000-0000-000020000000}"/>
    <cellStyle name="Normal 38" xfId="11" xr:uid="{00000000-0005-0000-0000-000021000000}"/>
    <cellStyle name="Normal 4" xfId="7" xr:uid="{00000000-0005-0000-0000-000022000000}"/>
    <cellStyle name="Normal 4 2" xfId="10" xr:uid="{00000000-0005-0000-0000-000023000000}"/>
    <cellStyle name="Normal 4 3" xfId="21" xr:uid="{00000000-0005-0000-0000-000024000000}"/>
    <cellStyle name="Normal 4 4" xfId="35" xr:uid="{00000000-0005-0000-0000-000025000000}"/>
    <cellStyle name="Normal 4_OW-Update" xfId="22" xr:uid="{00000000-0005-0000-0000-000026000000}"/>
    <cellStyle name="Normal 5" xfId="23" xr:uid="{00000000-0005-0000-0000-000027000000}"/>
    <cellStyle name="Normal 5 2" xfId="38" xr:uid="{00000000-0005-0000-0000-000028000000}"/>
    <cellStyle name="Normal 6" xfId="24" xr:uid="{00000000-0005-0000-0000-000029000000}"/>
    <cellStyle name="Normal 6 2" xfId="25" xr:uid="{00000000-0005-0000-0000-00002A000000}"/>
    <cellStyle name="Normal 7" xfId="33" xr:uid="{00000000-0005-0000-0000-00002B000000}"/>
    <cellStyle name="Normal 7 2" xfId="40" xr:uid="{00000000-0005-0000-0000-00002C000000}"/>
    <cellStyle name="Normal 8" xfId="34" xr:uid="{00000000-0005-0000-0000-00002D000000}"/>
    <cellStyle name="Normal 8 2" xfId="41" xr:uid="{00000000-0005-0000-0000-00002E000000}"/>
    <cellStyle name="Normal 9" xfId="39" xr:uid="{00000000-0005-0000-0000-00002F000000}"/>
    <cellStyle name="Normal 9 2" xfId="42" xr:uid="{00000000-0005-0000-0000-000030000000}"/>
    <cellStyle name="Title 2" xfId="26" xr:uid="{00000000-0005-0000-0000-000031000000}"/>
  </cellStyles>
  <dxfs count="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927100</xdr:colOff>
          <xdr:row>1</xdr:row>
          <xdr:rowOff>247650</xdr:rowOff>
        </xdr:from>
        <xdr:to>
          <xdr:col>6</xdr:col>
          <xdr:colOff>1447800</xdr:colOff>
          <xdr:row>1</xdr:row>
          <xdr:rowOff>495300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0" i="0" u="none" strike="noStrike" baseline="0">
                  <a:solidFill>
                    <a:srgbClr val="000000"/>
                  </a:solidFill>
                  <a:latin typeface="Calibri"/>
                  <a:ea typeface="Calibri"/>
                  <a:cs typeface="Calibri"/>
                </a:rPr>
                <a:t>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1562100</xdr:colOff>
          <xdr:row>1</xdr:row>
          <xdr:rowOff>247650</xdr:rowOff>
        </xdr:from>
        <xdr:to>
          <xdr:col>6</xdr:col>
          <xdr:colOff>2089150</xdr:colOff>
          <xdr:row>1</xdr:row>
          <xdr:rowOff>495300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0" i="0" u="none" strike="noStrike" baseline="0">
                  <a:solidFill>
                    <a:srgbClr val="000000"/>
                  </a:solidFill>
                  <a:latin typeface="Calibri"/>
                  <a:ea typeface="Calibri"/>
                  <a:cs typeface="Calibri"/>
                </a:rPr>
                <a:t>Missing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2203450</xdr:colOff>
          <xdr:row>1</xdr:row>
          <xdr:rowOff>247650</xdr:rowOff>
        </xdr:from>
        <xdr:to>
          <xdr:col>6</xdr:col>
          <xdr:colOff>2736850</xdr:colOff>
          <xdr:row>1</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2870200</xdr:colOff>
          <xdr:row>1</xdr:row>
          <xdr:rowOff>260350</xdr:rowOff>
        </xdr:from>
        <xdr:to>
          <xdr:col>6</xdr:col>
          <xdr:colOff>3403600</xdr:colOff>
          <xdr:row>1</xdr:row>
          <xdr:rowOff>495300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0" i="0" u="none" strike="noStrike" baseline="0">
                  <a:solidFill>
                    <a:srgbClr val="00000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3536950</xdr:colOff>
          <xdr:row>1</xdr:row>
          <xdr:rowOff>266700</xdr:rowOff>
        </xdr:from>
        <xdr:to>
          <xdr:col>6</xdr:col>
          <xdr:colOff>4076700</xdr:colOff>
          <xdr:row>1</xdr:row>
          <xdr:rowOff>495300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0"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22250843" y="76200"/>
          <a:ext cx="0" cy="366823"/>
          <a:chOff x="8353425" y="252655"/>
          <a:chExt cx="1343025" cy="670571"/>
        </a:xfrm>
      </xdr:grpSpPr>
      <xdr:sp macro="" textlink="">
        <xdr:nvSpPr>
          <xdr:cNvPr id="3" name="Oval 2">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2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2250844" y="87841"/>
          <a:ext cx="0" cy="316762"/>
          <a:chOff x="8353425" y="252655"/>
          <a:chExt cx="1343025" cy="670571"/>
        </a:xfrm>
      </xdr:grpSpPr>
      <xdr:sp macro="" textlink="">
        <xdr:nvSpPr>
          <xdr:cNvPr id="6" name="Oval 2">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2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155059</xdr:colOff>
      <xdr:row>0</xdr:row>
      <xdr:rowOff>66453</xdr:rowOff>
    </xdr:from>
    <xdr:to>
      <xdr:col>3</xdr:col>
      <xdr:colOff>248333</xdr:colOff>
      <xdr:row>1</xdr:row>
      <xdr:rowOff>169153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059" y="66453"/>
          <a:ext cx="2452373" cy="3242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653500" y="76200"/>
          <a:ext cx="0" cy="368300"/>
          <a:chOff x="8353425" y="252655"/>
          <a:chExt cx="1343025" cy="670571"/>
        </a:xfrm>
      </xdr:grpSpPr>
      <xdr:sp macro="" textlink="">
        <xdr:nvSpPr>
          <xdr:cNvPr id="3" name="Oval 2">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3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21653501" y="87841"/>
          <a:ext cx="0" cy="317500"/>
          <a:chOff x="8353425" y="252655"/>
          <a:chExt cx="1343025" cy="670571"/>
        </a:xfrm>
      </xdr:grpSpPr>
      <xdr:sp macro="" textlink="">
        <xdr:nvSpPr>
          <xdr:cNvPr id="6" name="Oval 2">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3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127000</xdr:colOff>
      <xdr:row>0</xdr:row>
      <xdr:rowOff>169333</xdr:rowOff>
    </xdr:from>
    <xdr:to>
      <xdr:col>3</xdr:col>
      <xdr:colOff>219290</xdr:colOff>
      <xdr:row>2</xdr:row>
      <xdr:rowOff>1420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0" y="169333"/>
          <a:ext cx="2452373" cy="324212"/>
        </a:xfrm>
        <a:prstGeom prst="rect">
          <a:avLst/>
        </a:prstGeom>
      </xdr:spPr>
    </xdr:pic>
    <xdr:clientData/>
  </xdr:twoCellAnchor>
  <xdr:twoCellAnchor>
    <xdr:from>
      <xdr:col>25</xdr:col>
      <xdr:colOff>0</xdr:colOff>
      <xdr:row>0</xdr:row>
      <xdr:rowOff>76200</xdr:rowOff>
    </xdr:from>
    <xdr:to>
      <xdr:col>25</xdr:col>
      <xdr:colOff>0</xdr:colOff>
      <xdr:row>2</xdr:row>
      <xdr:rowOff>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1653500" y="76200"/>
          <a:ext cx="0" cy="368300"/>
          <a:chOff x="8353425" y="252655"/>
          <a:chExt cx="1343025" cy="670571"/>
        </a:xfrm>
      </xdr:grpSpPr>
      <xdr:sp macro="" textlink="">
        <xdr:nvSpPr>
          <xdr:cNvPr id="18" name="Oval 17">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19" name="Freeform 10">
            <a:extLst>
              <a:ext uri="{FF2B5EF4-FFF2-40B4-BE49-F238E27FC236}">
                <a16:creationId xmlns:a16="http://schemas.microsoft.com/office/drawing/2014/main" id="{00000000-0008-0000-0300-000013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1653501" y="87841"/>
          <a:ext cx="0" cy="317500"/>
          <a:chOff x="8353425" y="252655"/>
          <a:chExt cx="1343025" cy="670571"/>
        </a:xfrm>
      </xdr:grpSpPr>
      <xdr:sp macro="" textlink="">
        <xdr:nvSpPr>
          <xdr:cNvPr id="21" name="Oval 2">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22" name="Freeform 13">
            <a:extLst>
              <a:ext uri="{FF2B5EF4-FFF2-40B4-BE49-F238E27FC236}">
                <a16:creationId xmlns:a16="http://schemas.microsoft.com/office/drawing/2014/main" id="{00000000-0008-0000-0300-000016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SRV-WIM\Testing2\My%20Documents\Emilia\LG-27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SRV-WIM\Testing2\My%20Documents\shiva\LG-2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vinayagam/Desktop/RGT%20Unit%20Data/RGT%20WP%20%2304/DPR%20of%20RWP-04/Raag-029/June%2021/28-06-2021/Day/DPR%20of%20Raag-29-04.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Firing%20Hea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Sheet2"/>
      <sheetName val="S5  Pressure Results"/>
      <sheetName val="DATABASE"/>
      <sheetName val="counters"/>
      <sheetName val="130508"/>
      <sheetName val="20- Calibration mainLEH 2146Jun"/>
      <sheetName val="calculo_de_gas_Total"/>
      <sheetName val="20-_Calibration_mainLEH_2146Jun"/>
      <sheetName val="Center"/>
      <sheetName val="Plan by Segment &amp; Center"/>
      <sheetName val="Project"/>
      <sheetName val="Segchart"/>
      <sheetName val="Segment"/>
      <sheetName val="SSegchart"/>
      <sheetName val="Bank Rec US$"/>
      <sheetName val="mfControl"/>
      <sheetName val="Master"/>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200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COVER"/>
      <sheetName val="COGS %"/>
      <sheetName val="#REF"/>
      <sheetName val="OFS TOTAL"/>
      <sheetName val="102 63 08"/>
      <sheetName val="QTREND"/>
      <sheetName val="201201-MechanicOrder for Truck"/>
      <sheetName val="Gun Diagram"/>
      <sheetName val="Shear Pin Calculation"/>
      <sheetName val="sheetControl"/>
      <sheetName val="Ctrl"/>
      <sheetName val="Engine"/>
      <sheetName val="calculo_de_gas_Total"/>
      <sheetName val="102_63_08"/>
      <sheetName val="201201-MechanicOrder_for_Truck"/>
      <sheetName val="Actmonths"/>
      <sheetName val="PrioMonths"/>
      <sheetName val="ANA Payments-0902"/>
      <sheetName val="JOB LOG"/>
      <sheetName val="Sheet1"/>
      <sheetName val="summary_results"/>
      <sheetName val="COGS_%"/>
      <sheetName val="Gun_Diagram"/>
      <sheetName val="Shear_Pin_Calculation"/>
      <sheetName val="AFE vs Actual"/>
      <sheetName val="Title Page"/>
      <sheetName val="calculo_de_gas_Total1"/>
      <sheetName val="102_63_081"/>
      <sheetName val="201201-MechanicOrder_for_Truck1"/>
      <sheetName val="ANA_Payments-0902"/>
      <sheetName val="DATA"/>
      <sheetName val="OFS-Commuters Detail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aux"/>
      <sheetName val="QTREND"/>
      <sheetName val="COVER"/>
      <sheetName val="TSP"/>
      <sheetName val="EVENT"/>
      <sheetName val="summary results"/>
      <sheetName val="Lg211"/>
      <sheetName val="graphics"/>
      <sheetName val="col de teste"/>
      <sheetName val="PARALIST"/>
      <sheetName val="Sheet1"/>
      <sheetName val="Report Long(Esso)"/>
      <sheetName val="OW-Update"/>
      <sheetName val="Events_Testing"/>
      <sheetName val="Data_Testing"/>
      <sheetName val="Tank readings "/>
      <sheetName val="Prod data ABH-044"/>
      <sheetName val="Tank readings1"/>
      <sheetName val="Flow record"/>
    </sheetNames>
    <sheetDataSet>
      <sheetData sheetId="0"/>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Update"/>
      <sheetName val="Testing Report"/>
      <sheetName val="Legand"/>
    </sheetNames>
    <sheetDataSet>
      <sheetData sheetId="0" refreshError="1"/>
      <sheetData sheetId="1" refreshError="1"/>
      <sheetData sheetId="2">
        <row r="3">
          <cell r="J3" t="str">
            <v>85. Move and spot</v>
          </cell>
        </row>
        <row r="4">
          <cell r="J4" t="str">
            <v>86. Preparation/RD</v>
          </cell>
        </row>
        <row r="5">
          <cell r="J5" t="str">
            <v>24. Waiting</v>
          </cell>
        </row>
        <row r="6">
          <cell r="J6" t="str">
            <v>87. Operation</v>
          </cell>
        </row>
        <row r="7">
          <cell r="J7" t="str">
            <v>88. Safety Meetings / Drills</v>
          </cell>
        </row>
        <row r="8">
          <cell r="J8" t="str">
            <v>89. Uncategorized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Master"/>
      <sheetName val="calculo de gas Total"/>
      <sheetName val="DATABASE"/>
      <sheetName val="col de teste"/>
      <sheetName val="Sheet1"/>
      <sheetName val="Tally"/>
      <sheetName val="BHA"/>
      <sheetName val="PDM RUN"/>
      <sheetName val="Ticket"/>
      <sheetName val="A"/>
      <sheetName val="Exp Inv"/>
      <sheetName val="taux"/>
      <sheetName val="TG Table"/>
      <sheetName val="RIG_FL_1"/>
      <sheetName val="Running List"/>
      <sheetName val="Firing Heads"/>
      <sheetName val="Job File Index"/>
      <sheetName val="Sheet15"/>
      <sheetName val="K_Factor"/>
      <sheetName val="Exp_Inv"/>
      <sheetName val="IC COST"/>
      <sheetName val="Local Staff CM-1"/>
      <sheetName val="1262004"/>
      <sheetName val="1246199"/>
      <sheetName val="1600 - PPE"/>
      <sheetName val="Data Input"/>
      <sheetName val="Input"/>
      <sheetName val="Pre-Job Info"/>
      <sheetName val="Tester Valve Calcs"/>
      <sheetName val="Int'l FT"/>
      <sheetName val="Data Sheet"/>
      <sheetName val="Report Long(Esso)"/>
      <sheetName val="CR_HIST (1)"/>
      <sheetName val="OW-Update"/>
      <sheetName val="Events_Testing"/>
      <sheetName val="Data_Testing"/>
      <sheetName val="Tank readings "/>
      <sheetName val="Tank readings1"/>
      <sheetName val="Flow record"/>
      <sheetName val="Plot Data"/>
      <sheetName val="Data"/>
      <sheetName val="Notification"/>
      <sheetName val="Handover_St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50"/>
  </sheetPr>
  <dimension ref="A1:M20"/>
  <sheetViews>
    <sheetView zoomScaleNormal="100" zoomScaleSheetLayoutView="100" workbookViewId="0">
      <pane ySplit="2" topLeftCell="A3" activePane="bottomLeft" state="frozen"/>
      <selection activeCell="G25" sqref="G25"/>
      <selection pane="bottomLeft" activeCell="G4" sqref="G4"/>
    </sheetView>
  </sheetViews>
  <sheetFormatPr defaultColWidth="9.1796875" defaultRowHeight="13" x14ac:dyDescent="0.3"/>
  <cols>
    <col min="1" max="2" width="7.7265625" style="29" customWidth="1"/>
    <col min="3" max="3" width="7.7265625" style="31" customWidth="1"/>
    <col min="4" max="4" width="7.7265625" style="29" customWidth="1"/>
    <col min="5" max="6" width="7.7265625" style="31" customWidth="1"/>
    <col min="7" max="7" width="77.1796875" style="30" customWidth="1"/>
    <col min="8" max="8" width="14.54296875" style="30" customWidth="1"/>
    <col min="9" max="9" width="14.81640625" style="29" customWidth="1"/>
    <col min="10" max="10" width="11.26953125" style="32" customWidth="1"/>
    <col min="11" max="11" width="11.7265625" style="29" customWidth="1"/>
    <col min="12" max="12" width="10.26953125" style="29" customWidth="1"/>
    <col min="13" max="13" width="8" style="29" customWidth="1"/>
    <col min="14" max="16384" width="9.1796875" style="1"/>
  </cols>
  <sheetData>
    <row r="1" spans="1:13" ht="23.15" customHeight="1" x14ac:dyDescent="0.3">
      <c r="A1" s="215"/>
      <c r="B1" s="215"/>
      <c r="C1" s="215"/>
      <c r="D1" s="215"/>
      <c r="E1" s="215"/>
      <c r="F1" s="215"/>
      <c r="G1" s="215"/>
      <c r="H1" s="215"/>
      <c r="I1" s="215"/>
      <c r="J1" s="215"/>
      <c r="K1" s="215"/>
      <c r="L1" s="215"/>
      <c r="M1" s="215"/>
    </row>
    <row r="2" spans="1:13" ht="43.5" customHeight="1" x14ac:dyDescent="0.3">
      <c r="A2" s="117" t="s">
        <v>0</v>
      </c>
      <c r="B2" s="117" t="s">
        <v>4</v>
      </c>
      <c r="C2" s="118" t="s">
        <v>8</v>
      </c>
      <c r="D2" s="117" t="s">
        <v>9</v>
      </c>
      <c r="E2" s="118" t="str">
        <f t="shared" ref="E2" si="0">LEFT(H2,2)</f>
        <v>Ac</v>
      </c>
      <c r="F2" s="118" t="str">
        <f t="shared" ref="F2" si="1">LEFT(I2,1)</f>
        <v>S</v>
      </c>
      <c r="G2" s="119"/>
      <c r="H2" s="117" t="s">
        <v>16</v>
      </c>
      <c r="I2" s="117" t="s">
        <v>90</v>
      </c>
      <c r="J2" s="120" t="s">
        <v>2</v>
      </c>
      <c r="K2" s="117" t="s">
        <v>1</v>
      </c>
      <c r="L2" s="119" t="s">
        <v>91</v>
      </c>
      <c r="M2" s="119" t="s">
        <v>3</v>
      </c>
    </row>
    <row r="3" spans="1:13" ht="26" x14ac:dyDescent="0.3">
      <c r="A3" s="123">
        <v>0.20833333333333334</v>
      </c>
      <c r="B3" s="123">
        <v>0.29166666666666669</v>
      </c>
      <c r="C3" s="124" t="s">
        <v>8</v>
      </c>
      <c r="D3" s="122" t="s">
        <v>7</v>
      </c>
      <c r="E3" s="124" t="str">
        <f t="shared" ref="E3:E11" si="2">LEFT(H3,2)</f>
        <v>86</v>
      </c>
      <c r="F3" s="124" t="str">
        <f t="shared" ref="F3:F11" si="3">LEFT(I3,1)</f>
        <v>D</v>
      </c>
      <c r="G3" s="125" t="s">
        <v>156</v>
      </c>
      <c r="H3" s="125" t="s">
        <v>55</v>
      </c>
      <c r="I3" s="122" t="s">
        <v>152</v>
      </c>
      <c r="J3" s="121">
        <v>44757</v>
      </c>
      <c r="K3" s="122" t="s">
        <v>157</v>
      </c>
      <c r="L3" s="122" t="s">
        <v>155</v>
      </c>
      <c r="M3" s="122" t="s">
        <v>151</v>
      </c>
    </row>
    <row r="4" spans="1:13" ht="39" x14ac:dyDescent="0.3">
      <c r="A4" s="123">
        <v>0.29166666666666669</v>
      </c>
      <c r="B4" s="123">
        <v>0.3125</v>
      </c>
      <c r="C4" s="124" t="s">
        <v>8</v>
      </c>
      <c r="D4" s="122" t="s">
        <v>7</v>
      </c>
      <c r="E4" s="124" t="str">
        <f t="shared" si="2"/>
        <v>88</v>
      </c>
      <c r="F4" s="124" t="str">
        <f t="shared" si="3"/>
        <v>A</v>
      </c>
      <c r="G4" s="125" t="s">
        <v>154</v>
      </c>
      <c r="H4" s="125" t="s">
        <v>60</v>
      </c>
      <c r="I4" s="122" t="s">
        <v>150</v>
      </c>
      <c r="J4" s="121">
        <v>44757</v>
      </c>
      <c r="K4" s="122" t="s">
        <v>157</v>
      </c>
      <c r="L4" s="122" t="s">
        <v>155</v>
      </c>
      <c r="M4" s="122" t="s">
        <v>151</v>
      </c>
    </row>
    <row r="5" spans="1:13" ht="26" x14ac:dyDescent="0.3">
      <c r="A5" s="123">
        <v>0.3125</v>
      </c>
      <c r="B5" s="123">
        <v>0.70833333333333337</v>
      </c>
      <c r="C5" s="124" t="s">
        <v>8</v>
      </c>
      <c r="D5" s="122" t="s">
        <v>7</v>
      </c>
      <c r="E5" s="124" t="str">
        <f t="shared" si="2"/>
        <v>86</v>
      </c>
      <c r="F5" s="124" t="str">
        <f t="shared" si="3"/>
        <v>A</v>
      </c>
      <c r="G5" s="125" t="s">
        <v>158</v>
      </c>
      <c r="H5" s="125" t="s">
        <v>55</v>
      </c>
      <c r="I5" s="122" t="s">
        <v>153</v>
      </c>
      <c r="J5" s="121">
        <v>44757</v>
      </c>
      <c r="K5" s="122" t="s">
        <v>157</v>
      </c>
      <c r="L5" s="122" t="s">
        <v>155</v>
      </c>
      <c r="M5" s="122" t="s">
        <v>151</v>
      </c>
    </row>
    <row r="6" spans="1:13" ht="26" x14ac:dyDescent="0.3">
      <c r="A6" s="123">
        <v>0.70833333333333337</v>
      </c>
      <c r="B6" s="123">
        <v>0.79166666666666663</v>
      </c>
      <c r="C6" s="124" t="s">
        <v>8</v>
      </c>
      <c r="D6" s="122" t="s">
        <v>7</v>
      </c>
      <c r="E6" s="124" t="str">
        <f t="shared" si="2"/>
        <v>86</v>
      </c>
      <c r="F6" s="124" t="str">
        <f t="shared" si="3"/>
        <v>A</v>
      </c>
      <c r="G6" s="125" t="s">
        <v>159</v>
      </c>
      <c r="H6" s="125" t="s">
        <v>55</v>
      </c>
      <c r="I6" s="122" t="s">
        <v>153</v>
      </c>
      <c r="J6" s="121">
        <v>44757</v>
      </c>
      <c r="K6" s="122" t="s">
        <v>157</v>
      </c>
      <c r="L6" s="122" t="s">
        <v>155</v>
      </c>
      <c r="M6" s="122" t="s">
        <v>151</v>
      </c>
    </row>
    <row r="7" spans="1:13" ht="39" x14ac:dyDescent="0.3">
      <c r="A7" s="123">
        <v>0.79166666666666663</v>
      </c>
      <c r="B7" s="123">
        <v>0.8125</v>
      </c>
      <c r="C7" s="124" t="s">
        <v>8</v>
      </c>
      <c r="D7" s="122" t="s">
        <v>7</v>
      </c>
      <c r="E7" s="124" t="str">
        <f t="shared" si="2"/>
        <v>88</v>
      </c>
      <c r="F7" s="124" t="str">
        <f t="shared" si="3"/>
        <v>A</v>
      </c>
      <c r="G7" s="125" t="s">
        <v>160</v>
      </c>
      <c r="H7" s="125" t="s">
        <v>60</v>
      </c>
      <c r="I7" s="122" t="s">
        <v>150</v>
      </c>
      <c r="J7" s="121">
        <v>44757</v>
      </c>
      <c r="K7" s="122" t="s">
        <v>157</v>
      </c>
      <c r="L7" s="122" t="s">
        <v>161</v>
      </c>
      <c r="M7" s="122" t="s">
        <v>162</v>
      </c>
    </row>
    <row r="8" spans="1:13" ht="39" x14ac:dyDescent="0.3">
      <c r="A8" s="123">
        <v>0.8125</v>
      </c>
      <c r="B8" s="123">
        <v>0.875</v>
      </c>
      <c r="C8" s="124" t="s">
        <v>8</v>
      </c>
      <c r="D8" s="122" t="s">
        <v>7</v>
      </c>
      <c r="E8" s="124" t="str">
        <f t="shared" si="2"/>
        <v>86</v>
      </c>
      <c r="F8" s="124" t="str">
        <f t="shared" si="3"/>
        <v>A</v>
      </c>
      <c r="G8" s="125" t="s">
        <v>166</v>
      </c>
      <c r="H8" s="125" t="s">
        <v>55</v>
      </c>
      <c r="I8" s="122" t="s">
        <v>153</v>
      </c>
      <c r="J8" s="121">
        <v>44757</v>
      </c>
      <c r="K8" s="122" t="s">
        <v>157</v>
      </c>
      <c r="L8" s="122" t="s">
        <v>161</v>
      </c>
      <c r="M8" s="122" t="s">
        <v>162</v>
      </c>
    </row>
    <row r="9" spans="1:13" ht="26" x14ac:dyDescent="0.3">
      <c r="A9" s="123">
        <v>0.875</v>
      </c>
      <c r="B9" s="123">
        <v>0.9375</v>
      </c>
      <c r="C9" s="124" t="s">
        <v>8</v>
      </c>
      <c r="D9" s="122" t="s">
        <v>7</v>
      </c>
      <c r="E9" s="124" t="str">
        <f t="shared" si="2"/>
        <v>86</v>
      </c>
      <c r="F9" s="124" t="str">
        <f t="shared" si="3"/>
        <v>A</v>
      </c>
      <c r="G9" s="125" t="s">
        <v>167</v>
      </c>
      <c r="H9" s="125" t="s">
        <v>55</v>
      </c>
      <c r="I9" s="122" t="s">
        <v>153</v>
      </c>
      <c r="J9" s="121">
        <v>44757</v>
      </c>
      <c r="K9" s="122" t="s">
        <v>157</v>
      </c>
      <c r="L9" s="122" t="s">
        <v>161</v>
      </c>
      <c r="M9" s="122" t="s">
        <v>162</v>
      </c>
    </row>
    <row r="10" spans="1:13" ht="39" x14ac:dyDescent="0.3">
      <c r="A10" s="123">
        <v>0.9375</v>
      </c>
      <c r="B10" s="123">
        <v>0.99930555555555556</v>
      </c>
      <c r="C10" s="124" t="s">
        <v>8</v>
      </c>
      <c r="D10" s="122" t="s">
        <v>7</v>
      </c>
      <c r="E10" s="124" t="str">
        <f t="shared" si="2"/>
        <v>86</v>
      </c>
      <c r="F10" s="124" t="str">
        <f t="shared" si="3"/>
        <v>B</v>
      </c>
      <c r="G10" s="125" t="s">
        <v>168</v>
      </c>
      <c r="H10" s="125" t="s">
        <v>55</v>
      </c>
      <c r="I10" s="122" t="s">
        <v>164</v>
      </c>
      <c r="J10" s="121">
        <v>44757</v>
      </c>
      <c r="K10" s="122" t="s">
        <v>157</v>
      </c>
      <c r="L10" s="122" t="s">
        <v>161</v>
      </c>
      <c r="M10" s="122" t="s">
        <v>162</v>
      </c>
    </row>
    <row r="11" spans="1:13" ht="26" x14ac:dyDescent="0.3">
      <c r="A11" s="129">
        <v>0</v>
      </c>
      <c r="B11" s="123">
        <v>0.20833333333333334</v>
      </c>
      <c r="C11" s="124" t="s">
        <v>8</v>
      </c>
      <c r="D11" s="122" t="s">
        <v>7</v>
      </c>
      <c r="E11" s="124" t="str">
        <f t="shared" si="2"/>
        <v>24</v>
      </c>
      <c r="F11" s="124" t="str">
        <f t="shared" si="3"/>
        <v>D</v>
      </c>
      <c r="G11" s="125" t="s">
        <v>163</v>
      </c>
      <c r="H11" s="125" t="s">
        <v>57</v>
      </c>
      <c r="I11" s="122" t="s">
        <v>165</v>
      </c>
      <c r="J11" s="121">
        <v>44758</v>
      </c>
      <c r="K11" s="122" t="s">
        <v>157</v>
      </c>
      <c r="L11" s="122" t="s">
        <v>161</v>
      </c>
      <c r="M11" s="122" t="s">
        <v>162</v>
      </c>
    </row>
    <row r="12" spans="1:13" ht="26" x14ac:dyDescent="0.3">
      <c r="A12" s="123">
        <v>0.20833333333333334</v>
      </c>
      <c r="B12" s="123">
        <v>0.29166666666666669</v>
      </c>
      <c r="C12" s="124" t="s">
        <v>8</v>
      </c>
      <c r="D12" s="122" t="s">
        <v>7</v>
      </c>
      <c r="E12" s="124" t="str">
        <f t="shared" ref="E12:E17" si="4">LEFT(H12,2)</f>
        <v>24</v>
      </c>
      <c r="F12" s="124" t="str">
        <f t="shared" ref="F12:F17" si="5">LEFT(I12,1)</f>
        <v>D</v>
      </c>
      <c r="G12" s="125" t="s">
        <v>163</v>
      </c>
      <c r="H12" s="125" t="s">
        <v>57</v>
      </c>
      <c r="I12" s="122" t="s">
        <v>165</v>
      </c>
      <c r="J12" s="121">
        <v>44758</v>
      </c>
      <c r="K12" s="122" t="s">
        <v>157</v>
      </c>
      <c r="L12" s="122" t="s">
        <v>161</v>
      </c>
      <c r="M12" s="122" t="s">
        <v>162</v>
      </c>
    </row>
    <row r="13" spans="1:13" ht="39" x14ac:dyDescent="0.3">
      <c r="A13" s="123">
        <v>0.29166666666666669</v>
      </c>
      <c r="B13" s="123">
        <v>0.3125</v>
      </c>
      <c r="C13" s="124" t="s">
        <v>8</v>
      </c>
      <c r="D13" s="122" t="s">
        <v>7</v>
      </c>
      <c r="E13" s="124" t="str">
        <f t="shared" si="4"/>
        <v>88</v>
      </c>
      <c r="F13" s="124" t="str">
        <f t="shared" si="5"/>
        <v>A</v>
      </c>
      <c r="G13" s="125" t="s">
        <v>154</v>
      </c>
      <c r="H13" s="125" t="s">
        <v>60</v>
      </c>
      <c r="I13" s="122" t="s">
        <v>150</v>
      </c>
      <c r="J13" s="121">
        <v>44758</v>
      </c>
      <c r="K13" s="122" t="s">
        <v>157</v>
      </c>
      <c r="L13" s="122" t="s">
        <v>155</v>
      </c>
      <c r="M13" s="122" t="s">
        <v>151</v>
      </c>
    </row>
    <row r="14" spans="1:13" x14ac:dyDescent="0.3">
      <c r="A14" s="123">
        <v>0.3125</v>
      </c>
      <c r="B14" s="123">
        <v>0.41666666666666669</v>
      </c>
      <c r="C14" s="124" t="s">
        <v>8</v>
      </c>
      <c r="D14" s="122" t="s">
        <v>7</v>
      </c>
      <c r="E14" s="124" t="str">
        <f t="shared" si="4"/>
        <v>24</v>
      </c>
      <c r="F14" s="124" t="str">
        <f t="shared" si="5"/>
        <v>D</v>
      </c>
      <c r="G14" s="125" t="s">
        <v>163</v>
      </c>
      <c r="H14" s="125" t="s">
        <v>57</v>
      </c>
      <c r="I14" s="122" t="s">
        <v>165</v>
      </c>
      <c r="J14" s="121">
        <v>44758</v>
      </c>
      <c r="K14" s="122" t="s">
        <v>157</v>
      </c>
      <c r="L14" s="122" t="s">
        <v>155</v>
      </c>
      <c r="M14" s="122" t="s">
        <v>151</v>
      </c>
    </row>
    <row r="15" spans="1:13" ht="91" x14ac:dyDescent="0.3">
      <c r="A15" s="123">
        <v>0.41666666666666669</v>
      </c>
      <c r="B15" s="123">
        <v>0.53819444444444442</v>
      </c>
      <c r="C15" s="124" t="s">
        <v>8</v>
      </c>
      <c r="D15" s="122" t="s">
        <v>7</v>
      </c>
      <c r="E15" s="124" t="str">
        <f t="shared" si="4"/>
        <v>87</v>
      </c>
      <c r="F15" s="124" t="str">
        <f t="shared" si="5"/>
        <v>R</v>
      </c>
      <c r="G15" s="125" t="s">
        <v>170</v>
      </c>
      <c r="H15" s="125" t="s">
        <v>56</v>
      </c>
      <c r="I15" s="122" t="s">
        <v>169</v>
      </c>
      <c r="J15" s="121">
        <v>44758</v>
      </c>
      <c r="K15" s="122" t="s">
        <v>157</v>
      </c>
      <c r="L15" s="122" t="s">
        <v>155</v>
      </c>
      <c r="M15" s="122" t="s">
        <v>151</v>
      </c>
    </row>
    <row r="16" spans="1:13" ht="78" x14ac:dyDescent="0.3">
      <c r="A16" s="123">
        <v>0.53819444444444442</v>
      </c>
      <c r="B16" s="123">
        <v>0.69097222222222221</v>
      </c>
      <c r="C16" s="124" t="s">
        <v>8</v>
      </c>
      <c r="D16" s="122" t="s">
        <v>7</v>
      </c>
      <c r="E16" s="124" t="str">
        <f t="shared" si="4"/>
        <v>87</v>
      </c>
      <c r="F16" s="124" t="str">
        <f t="shared" si="5"/>
        <v>R</v>
      </c>
      <c r="G16" s="125" t="s">
        <v>174</v>
      </c>
      <c r="H16" s="125" t="s">
        <v>56</v>
      </c>
      <c r="I16" s="122" t="s">
        <v>169</v>
      </c>
      <c r="J16" s="121">
        <v>44758</v>
      </c>
      <c r="K16" s="122" t="s">
        <v>157</v>
      </c>
      <c r="L16" s="122" t="s">
        <v>155</v>
      </c>
      <c r="M16" s="122" t="s">
        <v>151</v>
      </c>
    </row>
    <row r="17" spans="1:13" ht="52" x14ac:dyDescent="0.3">
      <c r="A17" s="123">
        <v>0.69097222222222221</v>
      </c>
      <c r="B17" s="123">
        <v>0.70833333333333337</v>
      </c>
      <c r="C17" s="124" t="s">
        <v>8</v>
      </c>
      <c r="D17" s="122" t="s">
        <v>7</v>
      </c>
      <c r="E17" s="124" t="str">
        <f t="shared" si="4"/>
        <v>87</v>
      </c>
      <c r="F17" s="124" t="str">
        <f t="shared" si="5"/>
        <v>R</v>
      </c>
      <c r="G17" s="125" t="s">
        <v>173</v>
      </c>
      <c r="H17" s="125" t="s">
        <v>56</v>
      </c>
      <c r="I17" s="122" t="s">
        <v>169</v>
      </c>
      <c r="J17" s="121">
        <v>44758</v>
      </c>
      <c r="K17" s="122" t="s">
        <v>157</v>
      </c>
      <c r="L17" s="122" t="s">
        <v>155</v>
      </c>
      <c r="M17" s="122" t="s">
        <v>151</v>
      </c>
    </row>
    <row r="18" spans="1:13" ht="26" x14ac:dyDescent="0.3">
      <c r="A18" s="123">
        <v>0.70833333333333337</v>
      </c>
      <c r="B18" s="123">
        <v>0.79166666666666663</v>
      </c>
      <c r="C18" s="124" t="s">
        <v>8</v>
      </c>
      <c r="D18" s="122" t="s">
        <v>7</v>
      </c>
      <c r="E18" s="124" t="str">
        <f>LEFT(H18,2)</f>
        <v>87</v>
      </c>
      <c r="F18" s="124" t="str">
        <f>LEFT(I18,1)</f>
        <v>R</v>
      </c>
      <c r="G18" s="125" t="s">
        <v>175</v>
      </c>
      <c r="H18" s="125" t="s">
        <v>56</v>
      </c>
      <c r="I18" s="122" t="s">
        <v>169</v>
      </c>
      <c r="J18" s="121">
        <v>44758</v>
      </c>
      <c r="K18" s="122" t="s">
        <v>157</v>
      </c>
      <c r="L18" s="122" t="s">
        <v>155</v>
      </c>
      <c r="M18" s="122" t="s">
        <v>151</v>
      </c>
    </row>
    <row r="19" spans="1:13" ht="39" x14ac:dyDescent="0.3">
      <c r="A19" s="123">
        <v>0.79166666666666663</v>
      </c>
      <c r="B19" s="123">
        <v>0.79166666666666663</v>
      </c>
      <c r="C19" s="124" t="s">
        <v>8</v>
      </c>
      <c r="D19" s="122" t="s">
        <v>7</v>
      </c>
      <c r="E19" s="124" t="str">
        <f>LEFT(H19,2)</f>
        <v>88</v>
      </c>
      <c r="F19" s="124" t="str">
        <f>LEFT(I19,1)</f>
        <v>A</v>
      </c>
      <c r="G19" s="125" t="s">
        <v>160</v>
      </c>
      <c r="H19" s="125" t="s">
        <v>60</v>
      </c>
      <c r="I19" s="122" t="s">
        <v>150</v>
      </c>
      <c r="J19" s="121">
        <v>44758</v>
      </c>
      <c r="K19" s="122" t="s">
        <v>157</v>
      </c>
      <c r="L19" s="122" t="s">
        <v>161</v>
      </c>
      <c r="M19" s="122" t="s">
        <v>162</v>
      </c>
    </row>
    <row r="20" spans="1:13" ht="39" x14ac:dyDescent="0.3">
      <c r="A20" s="126">
        <v>0.79166666666666663</v>
      </c>
      <c r="B20" s="126">
        <v>0.99930555555555556</v>
      </c>
      <c r="C20" s="33" t="s">
        <v>8</v>
      </c>
      <c r="D20" s="34" t="s">
        <v>7</v>
      </c>
      <c r="E20" s="33" t="str">
        <f>LEFT(H20,2)</f>
        <v>86</v>
      </c>
      <c r="F20" s="33" t="str">
        <f>LEFT(I20,1)</f>
        <v>D</v>
      </c>
      <c r="G20" s="87" t="s">
        <v>176</v>
      </c>
      <c r="H20" s="87" t="s">
        <v>55</v>
      </c>
      <c r="I20" s="34" t="s">
        <v>152</v>
      </c>
      <c r="J20" s="127">
        <v>44758</v>
      </c>
      <c r="K20" s="34" t="s">
        <v>157</v>
      </c>
      <c r="L20" s="34" t="s">
        <v>161</v>
      </c>
      <c r="M20" s="34" t="s">
        <v>162</v>
      </c>
    </row>
  </sheetData>
  <sheetProtection algorithmName="SHA-512" hashValue="8wNLtxzGTuwf3fk1C7KwG/4ZX5ObrtKewds0+ceeBWmZBSgci68pj0tgmMsZSj/pCcMXNl2M/TfI2EcnOkYrXQ==" saltValue="GNFaom6a/9X05roOBQOwdA==" spinCount="100000" sheet="1" objects="1" scenarios="1"/>
  <autoFilter ref="A2:M2" xr:uid="{00000000-0009-0000-0000-000000000000}"/>
  <mergeCells count="1">
    <mergeCell ref="A1:M1"/>
  </mergeCells>
  <phoneticPr fontId="13" type="noConversion"/>
  <dataValidations count="3">
    <dataValidation type="list" allowBlank="1" showInputMessage="1" showErrorMessage="1" sqref="H2:H1048576" xr:uid="{00000000-0002-0000-0000-000000000000}">
      <formula1>CodeList</formula1>
    </dataValidation>
    <dataValidation type="list" allowBlank="1" showInputMessage="1" showErrorMessage="1" sqref="D2:D1048576" xr:uid="{00000000-0002-0000-0000-000001000000}">
      <formula1>"P,U,S"</formula1>
    </dataValidation>
    <dataValidation type="list" allowBlank="1" showInputMessage="1" showErrorMessage="1" sqref="I3:I1048576" xr:uid="{00000000-0002-0000-0000-000002000000}">
      <formula1>INDIRECT(CONCATENATE("List",$E3))</formula1>
    </dataValidation>
  </dataValidations>
  <pageMargins left="0.25" right="0.25" top="0.75" bottom="0.75" header="0.3" footer="0.3"/>
  <pageSetup paperSize="8" scale="70" orientation="landscape" r:id="rId1"/>
  <headerFooter>
    <oddFooter>&amp;C&amp;1#&amp;"Calibri"&amp;6&amp;K737373Sensitivity: Internal (C3)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rk_Change_Dates">
                <anchor moveWithCells="1" sizeWithCells="1">
                  <from>
                    <xdr:col>6</xdr:col>
                    <xdr:colOff>927100</xdr:colOff>
                    <xdr:row>1</xdr:row>
                    <xdr:rowOff>247650</xdr:rowOff>
                  </from>
                  <to>
                    <xdr:col>6</xdr:col>
                    <xdr:colOff>1447800</xdr:colOff>
                    <xdr:row>1</xdr:row>
                    <xdr:rowOff>495300</xdr:rowOff>
                  </to>
                </anchor>
              </controlPr>
            </control>
          </mc:Choice>
        </mc:AlternateContent>
        <mc:AlternateContent xmlns:mc="http://schemas.openxmlformats.org/markup-compatibility/2006">
          <mc:Choice Requires="x14">
            <control shapeId="5122" r:id="rId5" name="Button 2">
              <controlPr defaultSize="0" print="0" autoFill="0" autoPict="0" macro="[0]!Mark_Missing_Reports">
                <anchor moveWithCells="1" sizeWithCells="1">
                  <from>
                    <xdr:col>6</xdr:col>
                    <xdr:colOff>1562100</xdr:colOff>
                    <xdr:row>1</xdr:row>
                    <xdr:rowOff>247650</xdr:rowOff>
                  </from>
                  <to>
                    <xdr:col>6</xdr:col>
                    <xdr:colOff>2089150</xdr:colOff>
                    <xdr:row>1</xdr:row>
                    <xdr:rowOff>495300</xdr:rowOff>
                  </to>
                </anchor>
              </controlPr>
            </control>
          </mc:Choice>
        </mc:AlternateContent>
        <mc:AlternateContent xmlns:mc="http://schemas.openxmlformats.org/markup-compatibility/2006">
          <mc:Choice Requires="x14">
            <control shapeId="5123" r:id="rId6" name="Button 3">
              <controlPr defaultSize="0" print="0" autoFill="0" autoPict="0" macro="[0]!Add_Row_Above">
                <anchor moveWithCells="1" sizeWithCells="1">
                  <from>
                    <xdr:col>6</xdr:col>
                    <xdr:colOff>2203450</xdr:colOff>
                    <xdr:row>1</xdr:row>
                    <xdr:rowOff>247650</xdr:rowOff>
                  </from>
                  <to>
                    <xdr:col>6</xdr:col>
                    <xdr:colOff>2736850</xdr:colOff>
                    <xdr:row>1</xdr:row>
                    <xdr:rowOff>495300</xdr:rowOff>
                  </to>
                </anchor>
              </controlPr>
            </control>
          </mc:Choice>
        </mc:AlternateContent>
        <mc:AlternateContent xmlns:mc="http://schemas.openxmlformats.org/markup-compatibility/2006">
          <mc:Choice Requires="x14">
            <control shapeId="5124" r:id="rId7" name="Button 4">
              <controlPr defaultSize="0" print="0" autoFill="0" autoPict="0" macro="[0]!Delete_Current_Row">
                <anchor moveWithCells="1" sizeWithCells="1">
                  <from>
                    <xdr:col>6</xdr:col>
                    <xdr:colOff>2870200</xdr:colOff>
                    <xdr:row>1</xdr:row>
                    <xdr:rowOff>260350</xdr:rowOff>
                  </from>
                  <to>
                    <xdr:col>6</xdr:col>
                    <xdr:colOff>3403600</xdr:colOff>
                    <xdr:row>1</xdr:row>
                    <xdr:rowOff>495300</xdr:rowOff>
                  </to>
                </anchor>
              </controlPr>
            </control>
          </mc:Choice>
        </mc:AlternateContent>
        <mc:AlternateContent xmlns:mc="http://schemas.openxmlformats.org/markup-compatibility/2006">
          <mc:Choice Requires="x14">
            <control shapeId="5125" r:id="rId8" name="Button 5">
              <controlPr defaultSize="0" print="0" autoFill="0" autoPict="0" macro="[0]!Copy_Formulae">
                <anchor moveWithCells="1" sizeWithCells="1">
                  <from>
                    <xdr:col>6</xdr:col>
                    <xdr:colOff>3536950</xdr:colOff>
                    <xdr:row>1</xdr:row>
                    <xdr:rowOff>266700</xdr:rowOff>
                  </from>
                  <to>
                    <xdr:col>6</xdr:col>
                    <xdr:colOff>4076700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CE75"/>
  <sheetViews>
    <sheetView tabSelected="1" zoomScale="70" zoomScaleNormal="70" workbookViewId="0">
      <pane xSplit="3" ySplit="7" topLeftCell="D8" activePane="bottomRight" state="frozen"/>
      <selection pane="topRight" activeCell="C1" sqref="C1"/>
      <selection pane="bottomLeft" activeCell="A7" sqref="A7"/>
      <selection pane="bottomRight" activeCell="Q6" sqref="Q6"/>
    </sheetView>
  </sheetViews>
  <sheetFormatPr defaultColWidth="9.1796875" defaultRowHeight="14.5" x14ac:dyDescent="0.35"/>
  <cols>
    <col min="1" max="1" width="14" style="39" customWidth="1"/>
    <col min="2" max="2" width="10.1796875" style="38" customWidth="1"/>
    <col min="3" max="3" width="14" style="39" customWidth="1"/>
    <col min="4" max="5" width="8.54296875" style="37" customWidth="1"/>
    <col min="6" max="6" width="12.26953125" style="37" customWidth="1"/>
    <col min="7" max="7" width="8.6328125" style="37" customWidth="1"/>
    <col min="8" max="8" width="8.1796875" style="37" customWidth="1"/>
    <col min="9" max="9" width="12.36328125" style="37" customWidth="1"/>
    <col min="10" max="10" width="13.81640625" style="37" customWidth="1"/>
    <col min="11" max="11" width="10.1796875" style="155" customWidth="1"/>
    <col min="12" max="12" width="11.7265625" style="37" customWidth="1"/>
    <col min="13" max="13" width="9" style="37" customWidth="1"/>
    <col min="14" max="14" width="11.7265625" style="37" customWidth="1"/>
    <col min="15" max="15" width="11" style="37" customWidth="1"/>
    <col min="16" max="16" width="12.26953125" style="37" customWidth="1"/>
    <col min="17" max="17" width="16.90625" style="37" customWidth="1"/>
    <col min="18" max="20" width="16.26953125" style="37" customWidth="1"/>
    <col min="21" max="21" width="13.453125" style="37" customWidth="1"/>
    <col min="22" max="22" width="8.54296875" style="37" customWidth="1"/>
    <col min="23" max="23" width="9.1796875" style="37" customWidth="1"/>
    <col min="24" max="24" width="9.81640625" style="37" customWidth="1"/>
    <col min="25" max="25" width="7.7265625" style="36" customWidth="1"/>
    <col min="26" max="26" width="11.26953125" style="207" customWidth="1"/>
    <col min="27" max="27" width="13.08984375" style="198" customWidth="1"/>
    <col min="28" max="28" width="8.54296875" style="37" customWidth="1"/>
    <col min="29" max="29" width="7.7265625" style="37" customWidth="1"/>
    <col min="30" max="30" width="7.7265625" style="198" customWidth="1"/>
    <col min="31" max="31" width="8.7265625" style="199" customWidth="1"/>
    <col min="32" max="32" width="8.81640625" style="198" customWidth="1"/>
    <col min="33" max="33" width="10.1796875" style="200" customWidth="1"/>
    <col min="34" max="34" width="9.26953125" style="207" customWidth="1"/>
    <col min="35" max="35" width="7" style="198" customWidth="1"/>
    <col min="36" max="36" width="7.1796875" style="200" customWidth="1"/>
    <col min="37" max="37" width="10.08984375" style="37" customWidth="1"/>
    <col min="38" max="39" width="12.90625" style="37" customWidth="1"/>
    <col min="40" max="40" width="10.08984375" style="37" customWidth="1"/>
    <col min="41" max="41" width="8" style="198" customWidth="1"/>
    <col min="42" max="42" width="10.26953125" style="200" customWidth="1"/>
    <col min="43" max="43" width="10.81640625" style="207" customWidth="1"/>
    <col min="44" max="44" width="10.81640625" style="37" customWidth="1"/>
    <col min="45" max="45" width="5.453125" style="37" customWidth="1"/>
    <col min="46" max="46" width="10.08984375" style="37" customWidth="1"/>
    <col min="47" max="47" width="10.7265625" style="200" customWidth="1"/>
    <col min="48" max="48" width="12.7265625" style="207" customWidth="1"/>
    <col min="49" max="49" width="9.26953125" style="36" customWidth="1"/>
    <col min="50" max="50" width="9.7265625" style="37" customWidth="1"/>
    <col min="51" max="51" width="10" style="198" customWidth="1"/>
    <col min="52" max="52" width="9.54296875" style="198" customWidth="1"/>
    <col min="53" max="63" width="14.453125" style="36" customWidth="1"/>
    <col min="64" max="66" width="22.36328125" style="36" customWidth="1"/>
    <col min="67" max="71" width="9.1796875" style="35"/>
    <col min="72" max="72" width="12.81640625" style="35" customWidth="1"/>
    <col min="73" max="73" width="22.453125" style="35" customWidth="1"/>
    <col min="74" max="74" width="65.6328125" style="35" customWidth="1"/>
    <col min="75" max="75" width="18.54296875" style="35" customWidth="1"/>
    <col min="76" max="79" width="9.1796875" style="35"/>
    <col min="80" max="80" width="22.453125" style="35" bestFit="1" customWidth="1"/>
    <col min="81" max="81" width="23.1796875" style="35" bestFit="1" customWidth="1"/>
    <col min="82" max="16384" width="9.1796875" style="35"/>
  </cols>
  <sheetData>
    <row r="1" spans="1:81" ht="20.25" customHeight="1" x14ac:dyDescent="0.35">
      <c r="A1" s="244"/>
      <c r="B1" s="245"/>
      <c r="C1" s="245"/>
      <c r="D1" s="245"/>
      <c r="E1" s="245"/>
      <c r="F1" s="245"/>
      <c r="G1" s="245"/>
      <c r="H1" s="245"/>
      <c r="I1" s="245"/>
      <c r="J1" s="245"/>
      <c r="K1" s="245"/>
      <c r="L1" s="245"/>
      <c r="M1" s="245"/>
      <c r="N1" s="245"/>
      <c r="O1" s="245"/>
      <c r="P1" s="245"/>
      <c r="Q1" s="130"/>
      <c r="R1" s="130"/>
      <c r="S1" s="130"/>
      <c r="T1" s="130"/>
      <c r="U1" s="248"/>
      <c r="V1" s="242" t="s">
        <v>179</v>
      </c>
      <c r="W1" s="242"/>
      <c r="X1" s="242"/>
      <c r="Y1" s="242"/>
      <c r="Z1" s="242"/>
      <c r="AA1" s="242"/>
      <c r="AB1" s="242"/>
      <c r="AC1" s="242"/>
      <c r="AD1" s="242"/>
      <c r="AE1" s="225" t="s">
        <v>177</v>
      </c>
      <c r="AF1" s="225"/>
      <c r="AG1" s="225"/>
      <c r="AH1" s="225"/>
      <c r="AI1" s="225"/>
      <c r="AJ1" s="225"/>
      <c r="AK1" s="225"/>
      <c r="AL1" s="172"/>
      <c r="AM1" s="172"/>
      <c r="AN1" s="172"/>
      <c r="AO1" s="240"/>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W1" s="40"/>
    </row>
    <row r="2" spans="1:81" ht="27.75" customHeight="1" x14ac:dyDescent="0.35">
      <c r="A2" s="246"/>
      <c r="B2" s="247"/>
      <c r="C2" s="245"/>
      <c r="D2" s="245"/>
      <c r="E2" s="245"/>
      <c r="F2" s="245"/>
      <c r="G2" s="245"/>
      <c r="H2" s="245"/>
      <c r="I2" s="245"/>
      <c r="J2" s="245"/>
      <c r="K2" s="245"/>
      <c r="L2" s="245"/>
      <c r="M2" s="245"/>
      <c r="N2" s="245"/>
      <c r="O2" s="245"/>
      <c r="P2" s="245"/>
      <c r="Q2" s="130"/>
      <c r="R2" s="130"/>
      <c r="S2" s="130"/>
      <c r="T2" s="130"/>
      <c r="U2" s="248"/>
      <c r="V2" s="243"/>
      <c r="W2" s="243"/>
      <c r="X2" s="243"/>
      <c r="Y2" s="243"/>
      <c r="Z2" s="243"/>
      <c r="AA2" s="243"/>
      <c r="AB2" s="243"/>
      <c r="AC2" s="243"/>
      <c r="AD2" s="243"/>
      <c r="AE2" s="249" t="s">
        <v>178</v>
      </c>
      <c r="AF2" s="249"/>
      <c r="AG2" s="249"/>
      <c r="AH2" s="249"/>
      <c r="AI2" s="249"/>
      <c r="AJ2" s="249"/>
      <c r="AK2" s="249"/>
      <c r="AL2" s="172"/>
      <c r="AM2" s="172"/>
      <c r="AN2" s="172"/>
      <c r="AO2" s="240"/>
      <c r="AP2" s="241"/>
      <c r="AQ2" s="241"/>
      <c r="AR2" s="241"/>
      <c r="AS2" s="241"/>
      <c r="AT2" s="241"/>
      <c r="AU2" s="241"/>
      <c r="AV2" s="241"/>
      <c r="AW2" s="241"/>
      <c r="AX2" s="241"/>
      <c r="AY2" s="241"/>
      <c r="AZ2" s="241"/>
      <c r="BA2" s="241"/>
      <c r="BB2" s="241"/>
      <c r="BC2" s="241"/>
      <c r="BD2" s="241"/>
      <c r="BE2" s="241"/>
      <c r="BF2" s="241"/>
      <c r="BG2" s="241"/>
      <c r="BH2" s="241"/>
      <c r="BI2" s="241"/>
      <c r="BJ2" s="241"/>
      <c r="BK2" s="241"/>
      <c r="BL2" s="241"/>
      <c r="BM2" s="241"/>
      <c r="BN2" s="241"/>
      <c r="BU2" s="202"/>
      <c r="BV2" s="40"/>
      <c r="BW2" s="40"/>
      <c r="BX2" s="40"/>
    </row>
    <row r="3" spans="1:81" s="40" customFormat="1" ht="18" customHeight="1" x14ac:dyDescent="0.35">
      <c r="A3" s="223" t="s">
        <v>2</v>
      </c>
      <c r="B3" s="230" t="s">
        <v>92</v>
      </c>
      <c r="C3" s="223" t="s">
        <v>180</v>
      </c>
      <c r="D3" s="231" t="s">
        <v>123</v>
      </c>
      <c r="E3" s="231" t="s">
        <v>224</v>
      </c>
      <c r="F3" s="232" t="s">
        <v>122</v>
      </c>
      <c r="G3" s="233"/>
      <c r="H3" s="233"/>
      <c r="I3" s="233"/>
      <c r="J3" s="233"/>
      <c r="K3" s="233"/>
      <c r="L3" s="233"/>
      <c r="M3" s="233"/>
      <c r="N3" s="233"/>
      <c r="O3" s="233"/>
      <c r="P3" s="234"/>
      <c r="Q3" s="226" t="s">
        <v>210</v>
      </c>
      <c r="R3" s="227"/>
      <c r="S3" s="226" t="s">
        <v>218</v>
      </c>
      <c r="T3" s="227"/>
      <c r="U3" s="238" t="s">
        <v>199</v>
      </c>
      <c r="V3" s="262" t="s">
        <v>231</v>
      </c>
      <c r="W3" s="263"/>
      <c r="X3" s="263"/>
      <c r="Y3" s="263"/>
      <c r="Z3" s="263"/>
      <c r="AA3" s="263"/>
      <c r="AB3" s="263"/>
      <c r="AC3" s="263"/>
      <c r="AD3" s="264"/>
      <c r="AE3" s="256" t="s">
        <v>230</v>
      </c>
      <c r="AF3" s="257"/>
      <c r="AG3" s="257"/>
      <c r="AH3" s="257"/>
      <c r="AI3" s="257"/>
      <c r="AJ3" s="257"/>
      <c r="AK3" s="257"/>
      <c r="AL3" s="257"/>
      <c r="AM3" s="257"/>
      <c r="AN3" s="258"/>
      <c r="AO3" s="256" t="s">
        <v>232</v>
      </c>
      <c r="AP3" s="257"/>
      <c r="AQ3" s="257"/>
      <c r="AR3" s="257"/>
      <c r="AS3" s="257"/>
      <c r="AT3" s="258"/>
      <c r="AU3" s="268" t="s">
        <v>93</v>
      </c>
      <c r="AV3" s="270"/>
      <c r="AW3" s="268" t="s">
        <v>233</v>
      </c>
      <c r="AX3" s="269"/>
      <c r="AY3" s="269"/>
      <c r="AZ3" s="270"/>
      <c r="BA3" s="250" t="s">
        <v>234</v>
      </c>
      <c r="BB3" s="252" t="s">
        <v>193</v>
      </c>
      <c r="BC3" s="274"/>
      <c r="BD3" s="253"/>
      <c r="BE3" s="252" t="s">
        <v>194</v>
      </c>
      <c r="BF3" s="274"/>
      <c r="BG3" s="253"/>
      <c r="BH3" s="252" t="s">
        <v>223</v>
      </c>
      <c r="BI3" s="253"/>
      <c r="BJ3" s="250" t="s">
        <v>197</v>
      </c>
      <c r="BK3" s="252" t="s">
        <v>202</v>
      </c>
      <c r="BL3" s="253"/>
      <c r="BM3" s="252" t="s">
        <v>203</v>
      </c>
      <c r="BN3" s="253"/>
      <c r="BU3" s="203" t="s">
        <v>334</v>
      </c>
      <c r="BV3" s="203" t="s">
        <v>335</v>
      </c>
      <c r="BW3" s="203" t="s">
        <v>235</v>
      </c>
    </row>
    <row r="4" spans="1:81" s="40" customFormat="1" ht="31" customHeight="1" x14ac:dyDescent="0.35">
      <c r="A4" s="223"/>
      <c r="B4" s="230"/>
      <c r="C4" s="223"/>
      <c r="D4" s="231"/>
      <c r="E4" s="231"/>
      <c r="F4" s="235"/>
      <c r="G4" s="236"/>
      <c r="H4" s="236"/>
      <c r="I4" s="236"/>
      <c r="J4" s="236"/>
      <c r="K4" s="236"/>
      <c r="L4" s="236"/>
      <c r="M4" s="236"/>
      <c r="N4" s="236"/>
      <c r="O4" s="236"/>
      <c r="P4" s="237"/>
      <c r="Q4" s="228"/>
      <c r="R4" s="229"/>
      <c r="S4" s="228"/>
      <c r="T4" s="229"/>
      <c r="U4" s="239"/>
      <c r="V4" s="265"/>
      <c r="W4" s="266"/>
      <c r="X4" s="266"/>
      <c r="Y4" s="266"/>
      <c r="Z4" s="266"/>
      <c r="AA4" s="266"/>
      <c r="AB4" s="266"/>
      <c r="AC4" s="266"/>
      <c r="AD4" s="267"/>
      <c r="AE4" s="259"/>
      <c r="AF4" s="260"/>
      <c r="AG4" s="260"/>
      <c r="AH4" s="260"/>
      <c r="AI4" s="260"/>
      <c r="AJ4" s="260"/>
      <c r="AK4" s="260"/>
      <c r="AL4" s="260"/>
      <c r="AM4" s="260"/>
      <c r="AN4" s="261"/>
      <c r="AO4" s="259"/>
      <c r="AP4" s="260"/>
      <c r="AQ4" s="260"/>
      <c r="AR4" s="260"/>
      <c r="AS4" s="260"/>
      <c r="AT4" s="261"/>
      <c r="AU4" s="271"/>
      <c r="AV4" s="273"/>
      <c r="AW4" s="271"/>
      <c r="AX4" s="272"/>
      <c r="AY4" s="272"/>
      <c r="AZ4" s="273"/>
      <c r="BA4" s="251"/>
      <c r="BB4" s="254"/>
      <c r="BC4" s="275"/>
      <c r="BD4" s="255"/>
      <c r="BE4" s="254"/>
      <c r="BF4" s="275"/>
      <c r="BG4" s="255"/>
      <c r="BH4" s="254"/>
      <c r="BI4" s="255"/>
      <c r="BJ4" s="251"/>
      <c r="BK4" s="254"/>
      <c r="BL4" s="255"/>
      <c r="BM4" s="254"/>
      <c r="BN4" s="255"/>
      <c r="BU4" s="221" t="s">
        <v>336</v>
      </c>
      <c r="BV4" s="169" t="s">
        <v>324</v>
      </c>
      <c r="BW4" s="169" t="s">
        <v>332</v>
      </c>
      <c r="BX4" s="40" t="s">
        <v>326</v>
      </c>
    </row>
    <row r="5" spans="1:81" s="40" customFormat="1" ht="31" customHeight="1" x14ac:dyDescent="0.35">
      <c r="A5" s="223"/>
      <c r="B5" s="230"/>
      <c r="C5" s="223"/>
      <c r="D5" s="231"/>
      <c r="E5" s="231"/>
      <c r="F5" s="224" t="s">
        <v>305</v>
      </c>
      <c r="G5" s="224"/>
      <c r="H5" s="171"/>
      <c r="I5" s="224" t="s">
        <v>306</v>
      </c>
      <c r="J5" s="224"/>
      <c r="K5" s="224"/>
      <c r="L5" s="224"/>
      <c r="M5" s="224" t="s">
        <v>307</v>
      </c>
      <c r="N5" s="224"/>
      <c r="O5" s="224"/>
      <c r="P5" s="224"/>
      <c r="Q5" s="131"/>
      <c r="R5" s="150"/>
      <c r="S5" s="131"/>
      <c r="T5" s="150"/>
      <c r="U5" s="151"/>
      <c r="V5" s="163"/>
      <c r="W5" s="164"/>
      <c r="X5" s="164"/>
      <c r="Y5" s="179"/>
      <c r="Z5" s="204"/>
      <c r="AA5" s="179"/>
      <c r="AB5" s="179"/>
      <c r="AC5" s="179"/>
      <c r="AD5" s="180"/>
      <c r="AE5" s="173"/>
      <c r="AF5" s="174"/>
      <c r="AG5" s="174"/>
      <c r="AH5" s="209"/>
      <c r="AI5" s="174"/>
      <c r="AJ5" s="174"/>
      <c r="AK5" s="174"/>
      <c r="AL5" s="174"/>
      <c r="AM5" s="174"/>
      <c r="AN5" s="175"/>
      <c r="AO5" s="173"/>
      <c r="AP5" s="174"/>
      <c r="AQ5" s="209"/>
      <c r="AR5" s="174"/>
      <c r="AS5" s="174"/>
      <c r="AT5" s="175"/>
      <c r="AU5" s="176"/>
      <c r="AV5" s="214"/>
      <c r="AW5" s="176"/>
      <c r="AX5" s="178"/>
      <c r="AY5" s="178"/>
      <c r="AZ5" s="177"/>
      <c r="BA5" s="168"/>
      <c r="BB5" s="165"/>
      <c r="BC5" s="166"/>
      <c r="BD5" s="167"/>
      <c r="BE5" s="165"/>
      <c r="BF5" s="166"/>
      <c r="BG5" s="167"/>
      <c r="BH5" s="165"/>
      <c r="BI5" s="167"/>
      <c r="BJ5" s="168"/>
      <c r="BK5" s="165"/>
      <c r="BL5" s="167"/>
      <c r="BM5" s="165"/>
      <c r="BN5" s="167"/>
      <c r="BU5" s="221"/>
      <c r="BV5" s="169" t="s">
        <v>325</v>
      </c>
      <c r="BW5" s="169" t="s">
        <v>333</v>
      </c>
      <c r="BX5" s="40" t="s">
        <v>326</v>
      </c>
    </row>
    <row r="6" spans="1:81" s="40" customFormat="1" ht="52.5" customHeight="1" x14ac:dyDescent="0.35">
      <c r="A6" s="223"/>
      <c r="B6" s="230"/>
      <c r="C6" s="223"/>
      <c r="D6" s="231"/>
      <c r="E6" s="231"/>
      <c r="F6" s="43" t="s">
        <v>121</v>
      </c>
      <c r="G6" s="43" t="s">
        <v>120</v>
      </c>
      <c r="H6" s="42" t="s">
        <v>119</v>
      </c>
      <c r="I6" s="42" t="s">
        <v>204</v>
      </c>
      <c r="J6" s="42" t="s">
        <v>205</v>
      </c>
      <c r="K6" s="152" t="s">
        <v>182</v>
      </c>
      <c r="L6" s="42" t="s">
        <v>206</v>
      </c>
      <c r="M6" s="42" t="s">
        <v>243</v>
      </c>
      <c r="N6" s="42" t="s">
        <v>207</v>
      </c>
      <c r="O6" s="42" t="s">
        <v>208</v>
      </c>
      <c r="P6" s="42" t="s">
        <v>209</v>
      </c>
      <c r="Q6" s="42" t="s">
        <v>211</v>
      </c>
      <c r="R6" s="42" t="s">
        <v>212</v>
      </c>
      <c r="S6" s="42" t="s">
        <v>219</v>
      </c>
      <c r="T6" s="42" t="s">
        <v>220</v>
      </c>
      <c r="U6" s="42" t="s">
        <v>181</v>
      </c>
      <c r="V6" s="41" t="s">
        <v>256</v>
      </c>
      <c r="W6" s="41" t="s">
        <v>257</v>
      </c>
      <c r="X6" s="41" t="s">
        <v>258</v>
      </c>
      <c r="Y6" s="182" t="s">
        <v>262</v>
      </c>
      <c r="Z6" s="156" t="s">
        <v>146</v>
      </c>
      <c r="AA6" s="161" t="s">
        <v>264</v>
      </c>
      <c r="AB6" s="181" t="s">
        <v>266</v>
      </c>
      <c r="AC6" s="181" t="s">
        <v>267</v>
      </c>
      <c r="AD6" s="161" t="s">
        <v>185</v>
      </c>
      <c r="AE6" s="183" t="s">
        <v>107</v>
      </c>
      <c r="AF6" s="183" t="s">
        <v>118</v>
      </c>
      <c r="AG6" s="184" t="s">
        <v>94</v>
      </c>
      <c r="AH6" s="158" t="s">
        <v>273</v>
      </c>
      <c r="AI6" s="186" t="s">
        <v>302</v>
      </c>
      <c r="AJ6" s="184" t="s">
        <v>115</v>
      </c>
      <c r="AK6" s="187" t="s">
        <v>304</v>
      </c>
      <c r="AL6" s="187" t="s">
        <v>225</v>
      </c>
      <c r="AM6" s="187" t="s">
        <v>222</v>
      </c>
      <c r="AN6" s="187" t="s">
        <v>183</v>
      </c>
      <c r="AO6" s="186" t="s">
        <v>107</v>
      </c>
      <c r="AP6" s="184" t="s">
        <v>96</v>
      </c>
      <c r="AQ6" s="158" t="s">
        <v>276</v>
      </c>
      <c r="AR6" s="187" t="s">
        <v>97</v>
      </c>
      <c r="AS6" s="187" t="s">
        <v>98</v>
      </c>
      <c r="AT6" s="184" t="s">
        <v>186</v>
      </c>
      <c r="AU6" s="184" t="s">
        <v>301</v>
      </c>
      <c r="AV6" s="158" t="s">
        <v>286</v>
      </c>
      <c r="AW6" s="185" t="s">
        <v>214</v>
      </c>
      <c r="AX6" s="187" t="s">
        <v>215</v>
      </c>
      <c r="AY6" s="186" t="s">
        <v>216</v>
      </c>
      <c r="AZ6" s="186" t="s">
        <v>217</v>
      </c>
      <c r="BA6" s="148" t="s">
        <v>114</v>
      </c>
      <c r="BB6" s="148" t="s">
        <v>187</v>
      </c>
      <c r="BC6" s="148" t="s">
        <v>188</v>
      </c>
      <c r="BD6" s="148" t="s">
        <v>189</v>
      </c>
      <c r="BE6" s="148" t="s">
        <v>190</v>
      </c>
      <c r="BF6" s="148" t="s">
        <v>191</v>
      </c>
      <c r="BG6" s="148" t="s">
        <v>192</v>
      </c>
      <c r="BH6" s="148" t="s">
        <v>195</v>
      </c>
      <c r="BI6" s="148" t="s">
        <v>196</v>
      </c>
      <c r="BJ6" s="148" t="s">
        <v>198</v>
      </c>
      <c r="BK6" s="148" t="s">
        <v>200</v>
      </c>
      <c r="BL6" s="148" t="s">
        <v>201</v>
      </c>
      <c r="BM6" s="148" t="s">
        <v>200</v>
      </c>
      <c r="BN6" s="148" t="s">
        <v>201</v>
      </c>
      <c r="BU6" s="222" t="s">
        <v>121</v>
      </c>
      <c r="BV6" s="43" t="s">
        <v>121</v>
      </c>
      <c r="BW6" s="169" t="s">
        <v>236</v>
      </c>
      <c r="BX6" s="40" t="s">
        <v>326</v>
      </c>
    </row>
    <row r="7" spans="1:81" ht="18" customHeight="1" x14ac:dyDescent="0.35">
      <c r="A7" s="144" t="s">
        <v>144</v>
      </c>
      <c r="B7" s="145" t="s">
        <v>99</v>
      </c>
      <c r="C7" s="144"/>
      <c r="D7" s="188" t="s">
        <v>100</v>
      </c>
      <c r="E7" s="188" t="s">
        <v>221</v>
      </c>
      <c r="F7" s="142" t="s">
        <v>113</v>
      </c>
      <c r="G7" s="142" t="s">
        <v>112</v>
      </c>
      <c r="H7" s="42" t="s">
        <v>113</v>
      </c>
      <c r="I7" s="142" t="s">
        <v>113</v>
      </c>
      <c r="J7" s="142" t="s">
        <v>113</v>
      </c>
      <c r="K7" s="153" t="s">
        <v>113</v>
      </c>
      <c r="L7" s="142" t="s">
        <v>113</v>
      </c>
      <c r="M7" s="142" t="s">
        <v>113</v>
      </c>
      <c r="N7" s="142" t="s">
        <v>112</v>
      </c>
      <c r="O7" s="142" t="s">
        <v>113</v>
      </c>
      <c r="P7" s="142" t="s">
        <v>112</v>
      </c>
      <c r="Q7" s="142" t="s">
        <v>112</v>
      </c>
      <c r="R7" s="142" t="s">
        <v>112</v>
      </c>
      <c r="S7" s="142" t="s">
        <v>113</v>
      </c>
      <c r="T7" s="142" t="s">
        <v>112</v>
      </c>
      <c r="U7" s="142" t="s">
        <v>113</v>
      </c>
      <c r="V7" s="143" t="s">
        <v>113</v>
      </c>
      <c r="W7" s="143" t="s">
        <v>112</v>
      </c>
      <c r="X7" s="143" t="s">
        <v>111</v>
      </c>
      <c r="Y7" s="190" t="s">
        <v>110</v>
      </c>
      <c r="Z7" s="205" t="s">
        <v>142</v>
      </c>
      <c r="AA7" s="162" t="s">
        <v>143</v>
      </c>
      <c r="AB7" s="189" t="s">
        <v>101</v>
      </c>
      <c r="AC7" s="189" t="s">
        <v>102</v>
      </c>
      <c r="AD7" s="162"/>
      <c r="AE7" s="191"/>
      <c r="AF7" s="191" t="s">
        <v>101</v>
      </c>
      <c r="AG7" s="192" t="s">
        <v>103</v>
      </c>
      <c r="AH7" s="210" t="s">
        <v>104</v>
      </c>
      <c r="AI7" s="194"/>
      <c r="AJ7" s="192"/>
      <c r="AK7" s="146" t="s">
        <v>101</v>
      </c>
      <c r="AL7" s="146" t="s">
        <v>112</v>
      </c>
      <c r="AM7" s="146" t="s">
        <v>103</v>
      </c>
      <c r="AN7" s="146" t="s">
        <v>184</v>
      </c>
      <c r="AO7" s="194"/>
      <c r="AP7" s="192" t="s">
        <v>103</v>
      </c>
      <c r="AQ7" s="210" t="s">
        <v>104</v>
      </c>
      <c r="AR7" s="187" t="s">
        <v>106</v>
      </c>
      <c r="AS7" s="146"/>
      <c r="AT7" s="184" t="s">
        <v>184</v>
      </c>
      <c r="AU7" s="184" t="s">
        <v>103</v>
      </c>
      <c r="AV7" s="158" t="s">
        <v>104</v>
      </c>
      <c r="AW7" s="193" t="str">
        <f>AY7</f>
        <v>bbl/mscf</v>
      </c>
      <c r="AX7" s="146" t="s">
        <v>109</v>
      </c>
      <c r="AY7" s="194" t="s">
        <v>105</v>
      </c>
      <c r="AZ7" s="194" t="s">
        <v>105</v>
      </c>
      <c r="BA7" s="147" t="s">
        <v>108</v>
      </c>
      <c r="BB7" s="149" t="s">
        <v>113</v>
      </c>
      <c r="BC7" s="146" t="s">
        <v>112</v>
      </c>
      <c r="BD7" s="147" t="s">
        <v>139</v>
      </c>
      <c r="BE7" s="149" t="s">
        <v>113</v>
      </c>
      <c r="BF7" s="146" t="s">
        <v>112</v>
      </c>
      <c r="BG7" s="147" t="s">
        <v>184</v>
      </c>
      <c r="BH7" s="147" t="s">
        <v>139</v>
      </c>
      <c r="BI7" s="146" t="s">
        <v>112</v>
      </c>
      <c r="BJ7" s="149" t="s">
        <v>113</v>
      </c>
      <c r="BK7" s="149" t="s">
        <v>113</v>
      </c>
      <c r="BL7" s="146" t="s">
        <v>112</v>
      </c>
      <c r="BM7" s="149" t="s">
        <v>113</v>
      </c>
      <c r="BN7" s="146" t="s">
        <v>112</v>
      </c>
      <c r="BU7" s="219"/>
      <c r="BV7" s="43" t="s">
        <v>120</v>
      </c>
      <c r="BW7" s="60" t="s">
        <v>237</v>
      </c>
      <c r="BX7" s="40" t="s">
        <v>326</v>
      </c>
    </row>
    <row r="8" spans="1:81" x14ac:dyDescent="0.35">
      <c r="A8" s="88">
        <v>44758</v>
      </c>
      <c r="B8" s="77">
        <v>0.42708333333333331</v>
      </c>
      <c r="C8" s="195"/>
      <c r="D8" s="137" t="s">
        <v>171</v>
      </c>
      <c r="E8" s="137"/>
      <c r="F8" s="78">
        <v>279</v>
      </c>
      <c r="G8" s="78">
        <v>68</v>
      </c>
      <c r="H8" s="78">
        <v>180</v>
      </c>
      <c r="I8" s="78">
        <f t="shared" ref="I8:I12" si="0">F8-5</f>
        <v>274</v>
      </c>
      <c r="J8" s="78">
        <v>272</v>
      </c>
      <c r="K8" s="154">
        <f>I8-J8</f>
        <v>2</v>
      </c>
      <c r="L8" s="78">
        <f>K8</f>
        <v>2</v>
      </c>
      <c r="M8" s="78">
        <v>274</v>
      </c>
      <c r="N8" s="78">
        <v>65</v>
      </c>
      <c r="O8" s="78">
        <v>150</v>
      </c>
      <c r="P8" s="137">
        <v>34</v>
      </c>
      <c r="Q8" s="137">
        <f>P8-1</f>
        <v>33</v>
      </c>
      <c r="R8" s="137">
        <f>Q8+20</f>
        <v>53</v>
      </c>
      <c r="S8" s="137">
        <f t="shared" ref="S8:T12" si="1">F8</f>
        <v>279</v>
      </c>
      <c r="T8" s="137">
        <f t="shared" si="1"/>
        <v>68</v>
      </c>
      <c r="U8" s="137">
        <f>9*14.2</f>
        <v>127.8</v>
      </c>
      <c r="V8" s="137">
        <v>174</v>
      </c>
      <c r="W8" s="137">
        <v>30</v>
      </c>
      <c r="X8" s="137">
        <v>130</v>
      </c>
      <c r="Y8" s="196">
        <v>0.75</v>
      </c>
      <c r="Z8" s="206" t="s">
        <v>172</v>
      </c>
      <c r="AA8" s="196">
        <v>0.12909999999999999</v>
      </c>
      <c r="AB8" s="137">
        <v>10</v>
      </c>
      <c r="AC8" s="137">
        <v>20</v>
      </c>
      <c r="AD8" s="89">
        <v>0.73399999999999999</v>
      </c>
      <c r="AE8" s="89">
        <v>0.94299999999999995</v>
      </c>
      <c r="AF8" s="137" t="s">
        <v>172</v>
      </c>
      <c r="AG8" s="137" t="s">
        <v>172</v>
      </c>
      <c r="AH8" s="212">
        <v>2.0699999999999998</v>
      </c>
      <c r="AI8" s="137" t="s">
        <v>172</v>
      </c>
      <c r="AJ8" s="137" t="s">
        <v>172</v>
      </c>
      <c r="AK8" s="137" t="s">
        <v>172</v>
      </c>
      <c r="AL8" s="137">
        <v>45</v>
      </c>
      <c r="AM8" s="196">
        <f>AH8-0.065</f>
        <v>2.0049999999999999</v>
      </c>
      <c r="AN8" s="137">
        <v>10</v>
      </c>
      <c r="AO8" s="137" t="s">
        <v>172</v>
      </c>
      <c r="AP8" s="137" t="s">
        <v>172</v>
      </c>
      <c r="AQ8" s="212">
        <v>2.11</v>
      </c>
      <c r="AR8" s="137" t="s">
        <v>172</v>
      </c>
      <c r="AS8" s="137" t="s">
        <v>172</v>
      </c>
      <c r="AT8" s="137">
        <v>10</v>
      </c>
      <c r="AU8" s="137" t="s">
        <v>172</v>
      </c>
      <c r="AV8" s="211">
        <f>AQ8+AH8</f>
        <v>4.18</v>
      </c>
      <c r="AW8" s="137" t="e">
        <f>Z8/AG8</f>
        <v>#VALUE!</v>
      </c>
      <c r="AX8" s="137" t="s">
        <v>12</v>
      </c>
      <c r="AY8" s="137" t="s">
        <v>172</v>
      </c>
      <c r="AZ8" s="137" t="e">
        <f>AP8/Z8</f>
        <v>#VALUE!</v>
      </c>
      <c r="BA8" s="196">
        <v>2.2999999999999998</v>
      </c>
      <c r="BB8" s="137">
        <v>30</v>
      </c>
      <c r="BC8" s="137">
        <f>W8-4</f>
        <v>26</v>
      </c>
      <c r="BD8" s="137">
        <v>10</v>
      </c>
      <c r="BE8" s="137">
        <f>BB8-2</f>
        <v>28</v>
      </c>
      <c r="BF8" s="137">
        <f>BC8-2</f>
        <v>24</v>
      </c>
      <c r="BG8" s="137">
        <v>2</v>
      </c>
      <c r="BH8" s="137">
        <f>BD8-2</f>
        <v>8</v>
      </c>
      <c r="BI8" s="137">
        <f>BF8</f>
        <v>24</v>
      </c>
      <c r="BJ8" s="137">
        <f>U8+10</f>
        <v>137.80000000000001</v>
      </c>
      <c r="BK8" s="137">
        <f>BB8</f>
        <v>30</v>
      </c>
      <c r="BL8" s="137">
        <f>BC8</f>
        <v>26</v>
      </c>
      <c r="BM8" s="137">
        <f>BK8-1</f>
        <v>29</v>
      </c>
      <c r="BN8" s="137">
        <f>BL8-1</f>
        <v>25</v>
      </c>
      <c r="BU8" s="220"/>
      <c r="BV8" s="42" t="s">
        <v>119</v>
      </c>
      <c r="BW8" s="60" t="s">
        <v>238</v>
      </c>
      <c r="BX8" s="40" t="s">
        <v>326</v>
      </c>
    </row>
    <row r="9" spans="1:81" ht="27.5" customHeight="1" x14ac:dyDescent="0.35">
      <c r="A9" s="88">
        <v>44758</v>
      </c>
      <c r="B9" s="77">
        <v>0.4375</v>
      </c>
      <c r="C9" s="88"/>
      <c r="D9" s="78" t="s">
        <v>171</v>
      </c>
      <c r="E9" s="78"/>
      <c r="F9" s="78">
        <v>294</v>
      </c>
      <c r="G9" s="78">
        <v>68</v>
      </c>
      <c r="H9" s="78">
        <v>150</v>
      </c>
      <c r="I9" s="78">
        <f t="shared" si="0"/>
        <v>289</v>
      </c>
      <c r="J9" s="78">
        <v>287</v>
      </c>
      <c r="K9" s="154">
        <f t="shared" ref="K9:K12" si="2">I9-J9</f>
        <v>2</v>
      </c>
      <c r="L9" s="78">
        <f t="shared" ref="L9:L12" si="3">K9</f>
        <v>2</v>
      </c>
      <c r="M9" s="78">
        <v>291</v>
      </c>
      <c r="N9" s="78">
        <v>66</v>
      </c>
      <c r="O9" s="78">
        <v>149</v>
      </c>
      <c r="P9" s="78">
        <v>36</v>
      </c>
      <c r="Q9" s="137">
        <f t="shared" ref="Q9:Q12" si="4">P9-1</f>
        <v>35</v>
      </c>
      <c r="R9" s="137">
        <f t="shared" ref="R9:R12" si="5">Q9+20</f>
        <v>55</v>
      </c>
      <c r="S9" s="137">
        <f t="shared" si="1"/>
        <v>294</v>
      </c>
      <c r="T9" s="137">
        <f t="shared" si="1"/>
        <v>68</v>
      </c>
      <c r="U9" s="137">
        <v>129</v>
      </c>
      <c r="V9" s="78">
        <v>218</v>
      </c>
      <c r="W9" s="78">
        <v>32</v>
      </c>
      <c r="X9" s="78">
        <v>134</v>
      </c>
      <c r="Y9" s="196">
        <v>0.75</v>
      </c>
      <c r="Z9" s="208">
        <f>(AA9-AA8)*96</f>
        <v>0.62400000000000055</v>
      </c>
      <c r="AA9" s="196">
        <v>0.1356</v>
      </c>
      <c r="AB9" s="137">
        <v>10</v>
      </c>
      <c r="AC9" s="137">
        <v>20</v>
      </c>
      <c r="AD9" s="89">
        <v>0.73399999999999999</v>
      </c>
      <c r="AE9" s="89">
        <v>0.94299999999999995</v>
      </c>
      <c r="AF9" s="78" t="s">
        <v>172</v>
      </c>
      <c r="AG9" s="79">
        <f>(AH9-AH8)*96</f>
        <v>9.6000000000000085</v>
      </c>
      <c r="AH9" s="212">
        <v>2.17</v>
      </c>
      <c r="AI9" s="78" t="s">
        <v>172</v>
      </c>
      <c r="AJ9" s="78" t="s">
        <v>172</v>
      </c>
      <c r="AK9" s="78" t="s">
        <v>172</v>
      </c>
      <c r="AL9" s="78">
        <v>46</v>
      </c>
      <c r="AM9" s="196">
        <f t="shared" ref="AM9:AM12" si="6">AH9-0.065</f>
        <v>2.105</v>
      </c>
      <c r="AN9" s="78">
        <v>20</v>
      </c>
      <c r="AO9" s="78" t="s">
        <v>172</v>
      </c>
      <c r="AP9" s="213">
        <f>(AQ9-AQ8)*96</f>
        <v>12.480000000000032</v>
      </c>
      <c r="AQ9" s="212">
        <v>2.2400000000000002</v>
      </c>
      <c r="AR9" s="78" t="s">
        <v>172</v>
      </c>
      <c r="AS9" s="78" t="s">
        <v>172</v>
      </c>
      <c r="AT9" s="78">
        <v>20</v>
      </c>
      <c r="AU9" s="137">
        <f t="shared" ref="AU9:AU12" si="7">AG9+AP9</f>
        <v>22.080000000000041</v>
      </c>
      <c r="AV9" s="211">
        <f t="shared" ref="AV9:AV12" si="8">AQ9+AH9</f>
        <v>4.41</v>
      </c>
      <c r="AW9" s="78"/>
      <c r="AX9" s="78" t="s">
        <v>172</v>
      </c>
      <c r="AY9" s="78" t="s">
        <v>172</v>
      </c>
      <c r="AZ9" s="78" t="s">
        <v>172</v>
      </c>
      <c r="BA9" s="197">
        <v>3.4</v>
      </c>
      <c r="BB9" s="78">
        <v>31</v>
      </c>
      <c r="BC9" s="137">
        <f t="shared" ref="BC9:BC12" si="9">W9-4</f>
        <v>28</v>
      </c>
      <c r="BD9" s="78">
        <v>20</v>
      </c>
      <c r="BE9" s="137">
        <f t="shared" ref="BE9:BE12" si="10">BB9-2</f>
        <v>29</v>
      </c>
      <c r="BF9" s="137">
        <f t="shared" ref="BF9:BF12" si="11">BC9-2</f>
        <v>26</v>
      </c>
      <c r="BG9" s="78">
        <v>2</v>
      </c>
      <c r="BH9" s="137">
        <f t="shared" ref="BH9:BH12" si="12">BD9-2</f>
        <v>18</v>
      </c>
      <c r="BI9" s="137">
        <f t="shared" ref="BI9:BI12" si="13">BF9</f>
        <v>26</v>
      </c>
      <c r="BJ9" s="137">
        <f t="shared" ref="BJ9:BJ12" si="14">U9+10</f>
        <v>139</v>
      </c>
      <c r="BK9" s="137">
        <f t="shared" ref="BK9:BK12" si="15">BB9</f>
        <v>31</v>
      </c>
      <c r="BL9" s="137">
        <f t="shared" ref="BL9:BL12" si="16">BC9</f>
        <v>28</v>
      </c>
      <c r="BM9" s="137">
        <f t="shared" ref="BM9:BM12" si="17">BK9-1</f>
        <v>30</v>
      </c>
      <c r="BN9" s="137">
        <f t="shared" ref="BN9:BN12" si="18">BL9-1</f>
        <v>27</v>
      </c>
      <c r="BU9" s="216" t="s">
        <v>321</v>
      </c>
      <c r="BV9" s="42" t="s">
        <v>204</v>
      </c>
      <c r="BW9" s="60" t="s">
        <v>239</v>
      </c>
      <c r="BX9" s="40" t="s">
        <v>326</v>
      </c>
      <c r="CB9" s="147" t="s">
        <v>314</v>
      </c>
      <c r="CC9" s="147" t="s">
        <v>310</v>
      </c>
    </row>
    <row r="10" spans="1:81" x14ac:dyDescent="0.35">
      <c r="A10" s="88">
        <v>44758</v>
      </c>
      <c r="B10" s="77">
        <v>0.44791666666666669</v>
      </c>
      <c r="C10" s="88"/>
      <c r="D10" s="78" t="s">
        <v>171</v>
      </c>
      <c r="E10" s="78"/>
      <c r="F10" s="78">
        <v>298</v>
      </c>
      <c r="G10" s="78">
        <v>69</v>
      </c>
      <c r="H10" s="78">
        <v>140</v>
      </c>
      <c r="I10" s="78">
        <f t="shared" si="0"/>
        <v>293</v>
      </c>
      <c r="J10" s="78">
        <v>288</v>
      </c>
      <c r="K10" s="154">
        <f t="shared" si="2"/>
        <v>5</v>
      </c>
      <c r="L10" s="78">
        <f t="shared" si="3"/>
        <v>5</v>
      </c>
      <c r="M10" s="78">
        <v>296</v>
      </c>
      <c r="N10" s="78">
        <v>65</v>
      </c>
      <c r="O10" s="78">
        <v>145</v>
      </c>
      <c r="P10" s="78">
        <v>47</v>
      </c>
      <c r="Q10" s="137">
        <f t="shared" si="4"/>
        <v>46</v>
      </c>
      <c r="R10" s="137">
        <f t="shared" si="5"/>
        <v>66</v>
      </c>
      <c r="S10" s="137">
        <f t="shared" si="1"/>
        <v>298</v>
      </c>
      <c r="T10" s="137">
        <f t="shared" si="1"/>
        <v>69</v>
      </c>
      <c r="U10" s="137">
        <v>129</v>
      </c>
      <c r="V10" s="78">
        <v>241</v>
      </c>
      <c r="W10" s="78">
        <v>41</v>
      </c>
      <c r="X10" s="78">
        <v>133</v>
      </c>
      <c r="Y10" s="196">
        <v>0.75</v>
      </c>
      <c r="Z10" s="208">
        <f t="shared" ref="Z10:Z15" si="19">(AA10-AA9)*96</f>
        <v>3.7535999999999996</v>
      </c>
      <c r="AA10" s="196">
        <v>0.17469999999999999</v>
      </c>
      <c r="AB10" s="137">
        <v>10</v>
      </c>
      <c r="AC10" s="137">
        <v>20</v>
      </c>
      <c r="AD10" s="89">
        <v>0.73399999999999999</v>
      </c>
      <c r="AE10" s="89">
        <v>0.94299999999999995</v>
      </c>
      <c r="AF10" s="78" t="s">
        <v>172</v>
      </c>
      <c r="AG10" s="79">
        <f t="shared" ref="AG10:AG15" si="20">(AH10-AH9)*96</f>
        <v>28.800000000000026</v>
      </c>
      <c r="AH10" s="212">
        <v>2.4700000000000002</v>
      </c>
      <c r="AI10" s="78" t="s">
        <v>172</v>
      </c>
      <c r="AJ10" s="78" t="s">
        <v>172</v>
      </c>
      <c r="AK10" s="78" t="s">
        <v>172</v>
      </c>
      <c r="AL10" s="78">
        <v>45</v>
      </c>
      <c r="AM10" s="196">
        <f t="shared" si="6"/>
        <v>2.4050000000000002</v>
      </c>
      <c r="AN10" s="78">
        <v>30</v>
      </c>
      <c r="AO10" s="78" t="s">
        <v>172</v>
      </c>
      <c r="AP10" s="213">
        <f t="shared" ref="AP10:AP15" si="21">(AQ10-AQ9)*96</f>
        <v>36.47999999999999</v>
      </c>
      <c r="AQ10" s="212">
        <v>2.62</v>
      </c>
      <c r="AR10" s="78" t="s">
        <v>172</v>
      </c>
      <c r="AS10" s="78" t="s">
        <v>172</v>
      </c>
      <c r="AT10" s="78">
        <v>30</v>
      </c>
      <c r="AU10" s="137">
        <f t="shared" si="7"/>
        <v>65.280000000000015</v>
      </c>
      <c r="AV10" s="211">
        <f t="shared" si="8"/>
        <v>5.09</v>
      </c>
      <c r="AW10" s="78"/>
      <c r="AX10" s="78" t="s">
        <v>172</v>
      </c>
      <c r="AY10" s="78" t="s">
        <v>172</v>
      </c>
      <c r="AZ10" s="78" t="s">
        <v>172</v>
      </c>
      <c r="BA10" s="197">
        <v>3.5</v>
      </c>
      <c r="BB10" s="78">
        <v>32</v>
      </c>
      <c r="BC10" s="137">
        <f t="shared" si="9"/>
        <v>37</v>
      </c>
      <c r="BD10" s="78">
        <v>24</v>
      </c>
      <c r="BE10" s="137">
        <f t="shared" si="10"/>
        <v>30</v>
      </c>
      <c r="BF10" s="137">
        <f t="shared" si="11"/>
        <v>35</v>
      </c>
      <c r="BG10" s="78">
        <v>2</v>
      </c>
      <c r="BH10" s="137">
        <f t="shared" si="12"/>
        <v>22</v>
      </c>
      <c r="BI10" s="137">
        <f t="shared" si="13"/>
        <v>35</v>
      </c>
      <c r="BJ10" s="137">
        <f t="shared" si="14"/>
        <v>139</v>
      </c>
      <c r="BK10" s="137">
        <f t="shared" si="15"/>
        <v>32</v>
      </c>
      <c r="BL10" s="137">
        <f t="shared" si="16"/>
        <v>37</v>
      </c>
      <c r="BM10" s="137">
        <f t="shared" si="17"/>
        <v>31</v>
      </c>
      <c r="BN10" s="137">
        <f t="shared" si="18"/>
        <v>36</v>
      </c>
      <c r="BU10" s="218"/>
      <c r="BV10" s="42" t="s">
        <v>205</v>
      </c>
      <c r="BW10" s="60" t="s">
        <v>240</v>
      </c>
      <c r="BX10" s="40" t="s">
        <v>326</v>
      </c>
      <c r="CB10" s="60" t="s">
        <v>313</v>
      </c>
      <c r="CC10" s="60" t="s">
        <v>319</v>
      </c>
    </row>
    <row r="11" spans="1:81" ht="26" x14ac:dyDescent="0.35">
      <c r="A11" s="88">
        <v>44758</v>
      </c>
      <c r="B11" s="77">
        <v>0.45833333333333331</v>
      </c>
      <c r="C11" s="88"/>
      <c r="D11" s="78" t="s">
        <v>226</v>
      </c>
      <c r="E11" s="78"/>
      <c r="F11" s="78">
        <v>299</v>
      </c>
      <c r="G11" s="78">
        <v>71</v>
      </c>
      <c r="H11" s="78">
        <v>130</v>
      </c>
      <c r="I11" s="78">
        <f t="shared" si="0"/>
        <v>294</v>
      </c>
      <c r="J11" s="78">
        <v>287</v>
      </c>
      <c r="K11" s="154">
        <f t="shared" si="2"/>
        <v>7</v>
      </c>
      <c r="L11" s="78">
        <f t="shared" si="3"/>
        <v>7</v>
      </c>
      <c r="M11" s="78">
        <v>294</v>
      </c>
      <c r="N11" s="78">
        <v>67</v>
      </c>
      <c r="O11" s="78">
        <v>153</v>
      </c>
      <c r="P11" s="78">
        <v>48</v>
      </c>
      <c r="Q11" s="137">
        <f t="shared" si="4"/>
        <v>47</v>
      </c>
      <c r="R11" s="137">
        <f t="shared" si="5"/>
        <v>67</v>
      </c>
      <c r="S11" s="137">
        <f t="shared" si="1"/>
        <v>299</v>
      </c>
      <c r="T11" s="137">
        <f t="shared" si="1"/>
        <v>71</v>
      </c>
      <c r="U11" s="137">
        <v>130</v>
      </c>
      <c r="V11" s="78">
        <v>256</v>
      </c>
      <c r="W11" s="78">
        <v>49</v>
      </c>
      <c r="X11" s="137">
        <v>130</v>
      </c>
      <c r="Y11" s="196">
        <v>0.75</v>
      </c>
      <c r="Z11" s="208">
        <f t="shared" si="19"/>
        <v>3.8015999999999996</v>
      </c>
      <c r="AA11" s="196">
        <v>0.21429999999999999</v>
      </c>
      <c r="AB11" s="137">
        <v>10</v>
      </c>
      <c r="AC11" s="137">
        <v>20</v>
      </c>
      <c r="AD11" s="89">
        <v>0.73399999999999999</v>
      </c>
      <c r="AE11" s="89">
        <v>0.94299999999999995</v>
      </c>
      <c r="AF11" s="78" t="s">
        <v>172</v>
      </c>
      <c r="AG11" s="79">
        <f t="shared" si="20"/>
        <v>18.239999999999995</v>
      </c>
      <c r="AH11" s="212">
        <v>2.66</v>
      </c>
      <c r="AI11" s="78" t="s">
        <v>172</v>
      </c>
      <c r="AJ11" s="78" t="s">
        <v>172</v>
      </c>
      <c r="AK11" s="78" t="s">
        <v>172</v>
      </c>
      <c r="AL11" s="78">
        <v>46</v>
      </c>
      <c r="AM11" s="196">
        <f t="shared" si="6"/>
        <v>2.5950000000000002</v>
      </c>
      <c r="AN11" s="78">
        <v>40</v>
      </c>
      <c r="AO11" s="78" t="s">
        <v>172</v>
      </c>
      <c r="AP11" s="213">
        <f t="shared" si="21"/>
        <v>24</v>
      </c>
      <c r="AQ11" s="212">
        <v>2.87</v>
      </c>
      <c r="AR11" s="78" t="s">
        <v>172</v>
      </c>
      <c r="AS11" s="78" t="s">
        <v>172</v>
      </c>
      <c r="AT11" s="78">
        <v>40</v>
      </c>
      <c r="AU11" s="137">
        <f t="shared" si="7"/>
        <v>42.239999999999995</v>
      </c>
      <c r="AV11" s="211">
        <f t="shared" si="8"/>
        <v>5.53</v>
      </c>
      <c r="AW11" s="78"/>
      <c r="AX11" s="78" t="s">
        <v>172</v>
      </c>
      <c r="AY11" s="78" t="s">
        <v>172</v>
      </c>
      <c r="AZ11" s="78" t="s">
        <v>172</v>
      </c>
      <c r="BA11" s="197">
        <v>3.5640000000000001</v>
      </c>
      <c r="BB11" s="78">
        <v>33</v>
      </c>
      <c r="BC11" s="137">
        <f t="shared" si="9"/>
        <v>45</v>
      </c>
      <c r="BD11" s="78">
        <v>27</v>
      </c>
      <c r="BE11" s="137">
        <f t="shared" si="10"/>
        <v>31</v>
      </c>
      <c r="BF11" s="137">
        <f t="shared" si="11"/>
        <v>43</v>
      </c>
      <c r="BG11" s="78">
        <v>3</v>
      </c>
      <c r="BH11" s="137">
        <f t="shared" si="12"/>
        <v>25</v>
      </c>
      <c r="BI11" s="137">
        <f t="shared" si="13"/>
        <v>43</v>
      </c>
      <c r="BJ11" s="137">
        <f t="shared" si="14"/>
        <v>140</v>
      </c>
      <c r="BK11" s="137">
        <f t="shared" si="15"/>
        <v>33</v>
      </c>
      <c r="BL11" s="137">
        <f t="shared" si="16"/>
        <v>45</v>
      </c>
      <c r="BM11" s="137">
        <f t="shared" si="17"/>
        <v>32</v>
      </c>
      <c r="BN11" s="137">
        <f t="shared" si="18"/>
        <v>44</v>
      </c>
      <c r="BU11" s="218"/>
      <c r="BV11" s="152" t="s">
        <v>182</v>
      </c>
      <c r="BW11" s="60" t="s">
        <v>241</v>
      </c>
      <c r="BX11" s="40"/>
      <c r="CB11" s="60" t="s">
        <v>312</v>
      </c>
      <c r="CC11" s="201" t="s">
        <v>308</v>
      </c>
    </row>
    <row r="12" spans="1:81" ht="24.5" customHeight="1" x14ac:dyDescent="0.35">
      <c r="A12" s="88">
        <v>44758</v>
      </c>
      <c r="B12" s="77">
        <v>0.46875</v>
      </c>
      <c r="C12" s="88"/>
      <c r="D12" s="78" t="s">
        <v>227</v>
      </c>
      <c r="E12" s="78"/>
      <c r="F12" s="78">
        <v>298</v>
      </c>
      <c r="G12" s="78">
        <v>72</v>
      </c>
      <c r="H12" s="78">
        <v>180</v>
      </c>
      <c r="I12" s="78">
        <f t="shared" si="0"/>
        <v>293</v>
      </c>
      <c r="J12" s="78">
        <v>288</v>
      </c>
      <c r="K12" s="154">
        <f t="shared" si="2"/>
        <v>5</v>
      </c>
      <c r="L12" s="78">
        <f t="shared" si="3"/>
        <v>5</v>
      </c>
      <c r="M12" s="78">
        <v>300</v>
      </c>
      <c r="N12" s="78">
        <v>65</v>
      </c>
      <c r="O12" s="78">
        <v>152</v>
      </c>
      <c r="P12" s="78">
        <v>46</v>
      </c>
      <c r="Q12" s="137">
        <f t="shared" si="4"/>
        <v>45</v>
      </c>
      <c r="R12" s="137">
        <f t="shared" si="5"/>
        <v>65</v>
      </c>
      <c r="S12" s="137">
        <f t="shared" si="1"/>
        <v>298</v>
      </c>
      <c r="T12" s="137">
        <f t="shared" si="1"/>
        <v>72</v>
      </c>
      <c r="U12" s="137">
        <v>129</v>
      </c>
      <c r="V12" s="78">
        <v>269</v>
      </c>
      <c r="W12" s="78">
        <v>54</v>
      </c>
      <c r="X12" s="78">
        <v>134</v>
      </c>
      <c r="Y12" s="196">
        <v>0.75</v>
      </c>
      <c r="Z12" s="208">
        <f t="shared" si="19"/>
        <v>3.8303999999999991</v>
      </c>
      <c r="AA12" s="196">
        <v>0.25419999999999998</v>
      </c>
      <c r="AB12" s="137">
        <v>10</v>
      </c>
      <c r="AC12" s="137">
        <v>20</v>
      </c>
      <c r="AD12" s="89">
        <v>0.73399999999999999</v>
      </c>
      <c r="AE12" s="89">
        <v>0.94299999999999995</v>
      </c>
      <c r="AF12" s="78" t="s">
        <v>172</v>
      </c>
      <c r="AG12" s="79">
        <f t="shared" si="20"/>
        <v>22.08</v>
      </c>
      <c r="AH12" s="212">
        <v>2.89</v>
      </c>
      <c r="AI12" s="78" t="s">
        <v>172</v>
      </c>
      <c r="AJ12" s="78" t="s">
        <v>172</v>
      </c>
      <c r="AK12" s="78" t="s">
        <v>172</v>
      </c>
      <c r="AL12" s="78">
        <v>45</v>
      </c>
      <c r="AM12" s="196">
        <f t="shared" si="6"/>
        <v>2.8250000000000002</v>
      </c>
      <c r="AN12" s="78">
        <v>50</v>
      </c>
      <c r="AO12" s="78" t="s">
        <v>172</v>
      </c>
      <c r="AP12" s="213">
        <f t="shared" si="21"/>
        <v>27.840000000000003</v>
      </c>
      <c r="AQ12" s="212">
        <v>3.16</v>
      </c>
      <c r="AR12" s="78" t="s">
        <v>172</v>
      </c>
      <c r="AS12" s="78" t="s">
        <v>172</v>
      </c>
      <c r="AT12" s="78">
        <v>50</v>
      </c>
      <c r="AU12" s="137">
        <f t="shared" si="7"/>
        <v>49.92</v>
      </c>
      <c r="AV12" s="211">
        <f t="shared" si="8"/>
        <v>6.0500000000000007</v>
      </c>
      <c r="AW12" s="78"/>
      <c r="AX12" s="78" t="s">
        <v>172</v>
      </c>
      <c r="AY12" s="78" t="s">
        <v>172</v>
      </c>
      <c r="AZ12" s="78" t="s">
        <v>172</v>
      </c>
      <c r="BA12" s="197">
        <v>3.7650000000000001</v>
      </c>
      <c r="BB12" s="78">
        <v>32</v>
      </c>
      <c r="BC12" s="137">
        <f t="shared" si="9"/>
        <v>50</v>
      </c>
      <c r="BD12" s="78">
        <v>28</v>
      </c>
      <c r="BE12" s="137">
        <f t="shared" si="10"/>
        <v>30</v>
      </c>
      <c r="BF12" s="137">
        <f t="shared" si="11"/>
        <v>48</v>
      </c>
      <c r="BG12" s="78">
        <v>3</v>
      </c>
      <c r="BH12" s="137">
        <f t="shared" si="12"/>
        <v>26</v>
      </c>
      <c r="BI12" s="137">
        <f t="shared" si="13"/>
        <v>48</v>
      </c>
      <c r="BJ12" s="137">
        <f t="shared" si="14"/>
        <v>139</v>
      </c>
      <c r="BK12" s="137">
        <f t="shared" si="15"/>
        <v>32</v>
      </c>
      <c r="BL12" s="137">
        <f t="shared" si="16"/>
        <v>50</v>
      </c>
      <c r="BM12" s="137">
        <f t="shared" si="17"/>
        <v>31</v>
      </c>
      <c r="BN12" s="137">
        <f t="shared" si="18"/>
        <v>49</v>
      </c>
      <c r="BU12" s="217"/>
      <c r="BV12" s="42" t="s">
        <v>206</v>
      </c>
      <c r="BW12" s="60" t="s">
        <v>242</v>
      </c>
      <c r="BX12" s="40" t="s">
        <v>326</v>
      </c>
      <c r="CB12" s="60" t="s">
        <v>311</v>
      </c>
      <c r="CC12" s="201" t="s">
        <v>309</v>
      </c>
    </row>
    <row r="13" spans="1:81" ht="24.5" customHeight="1" x14ac:dyDescent="0.35">
      <c r="A13" s="88">
        <v>44758</v>
      </c>
      <c r="B13" s="77">
        <v>0.47916666666666669</v>
      </c>
      <c r="C13" s="88"/>
      <c r="D13" s="78" t="s">
        <v>228</v>
      </c>
      <c r="E13" s="78"/>
      <c r="F13" s="78">
        <v>344</v>
      </c>
      <c r="G13" s="78">
        <v>73</v>
      </c>
      <c r="H13" s="78">
        <v>150</v>
      </c>
      <c r="I13" s="78">
        <f>F13-5</f>
        <v>339</v>
      </c>
      <c r="J13" s="78">
        <v>289</v>
      </c>
      <c r="K13" s="154">
        <f>I13-J13</f>
        <v>50</v>
      </c>
      <c r="L13" s="78">
        <f>K13</f>
        <v>50</v>
      </c>
      <c r="M13" s="78">
        <v>337</v>
      </c>
      <c r="N13" s="78">
        <v>66</v>
      </c>
      <c r="O13" s="78">
        <v>153</v>
      </c>
      <c r="P13" s="78">
        <v>47</v>
      </c>
      <c r="Q13" s="137">
        <f>P13-1</f>
        <v>46</v>
      </c>
      <c r="R13" s="137">
        <f>Q13+20</f>
        <v>66</v>
      </c>
      <c r="S13" s="137">
        <f t="shared" ref="S13:T15" si="22">F13</f>
        <v>344</v>
      </c>
      <c r="T13" s="137">
        <f t="shared" si="22"/>
        <v>73</v>
      </c>
      <c r="U13" s="137">
        <v>129</v>
      </c>
      <c r="V13" s="78">
        <v>306</v>
      </c>
      <c r="W13" s="78">
        <v>58</v>
      </c>
      <c r="X13" s="78">
        <v>133</v>
      </c>
      <c r="Y13" s="196">
        <v>0.75</v>
      </c>
      <c r="Z13" s="208">
        <f t="shared" si="19"/>
        <v>3.8688000000000002</v>
      </c>
      <c r="AA13" s="196">
        <v>0.29449999999999998</v>
      </c>
      <c r="AB13" s="78">
        <v>15</v>
      </c>
      <c r="AC13" s="78">
        <v>40</v>
      </c>
      <c r="AD13" s="89">
        <v>0.73399999999999999</v>
      </c>
      <c r="AE13" s="89">
        <v>0.94299999999999995</v>
      </c>
      <c r="AF13" s="78" t="s">
        <v>172</v>
      </c>
      <c r="AG13" s="79">
        <f t="shared" si="20"/>
        <v>24</v>
      </c>
      <c r="AH13" s="212">
        <v>3.14</v>
      </c>
      <c r="AI13" s="78" t="s">
        <v>172</v>
      </c>
      <c r="AJ13" s="78" t="s">
        <v>172</v>
      </c>
      <c r="AK13" s="78" t="s">
        <v>172</v>
      </c>
      <c r="AL13" s="78">
        <v>46</v>
      </c>
      <c r="AM13" s="196">
        <f>AH13-0.065</f>
        <v>3.0750000000000002</v>
      </c>
      <c r="AN13" s="78">
        <v>40</v>
      </c>
      <c r="AO13" s="78" t="s">
        <v>172</v>
      </c>
      <c r="AP13" s="213">
        <f t="shared" si="21"/>
        <v>29.760000000000005</v>
      </c>
      <c r="AQ13" s="212">
        <v>3.47</v>
      </c>
      <c r="AR13" s="78" t="s">
        <v>172</v>
      </c>
      <c r="AS13" s="78" t="s">
        <v>172</v>
      </c>
      <c r="AT13" s="78">
        <v>40</v>
      </c>
      <c r="AU13" s="137">
        <f>AG13+AP13</f>
        <v>53.760000000000005</v>
      </c>
      <c r="AV13" s="211">
        <f>AQ13+AH13</f>
        <v>6.61</v>
      </c>
      <c r="AW13" s="78"/>
      <c r="AX13" s="78" t="s">
        <v>172</v>
      </c>
      <c r="AY13" s="78" t="s">
        <v>172</v>
      </c>
      <c r="AZ13" s="78" t="s">
        <v>172</v>
      </c>
      <c r="BA13" s="197">
        <v>4.32</v>
      </c>
      <c r="BB13" s="78">
        <v>32</v>
      </c>
      <c r="BC13" s="137">
        <f>W13-4</f>
        <v>54</v>
      </c>
      <c r="BD13" s="78">
        <v>32</v>
      </c>
      <c r="BE13" s="137">
        <f>BB13-2</f>
        <v>30</v>
      </c>
      <c r="BF13" s="137">
        <f>BC13-2</f>
        <v>52</v>
      </c>
      <c r="BG13" s="78">
        <v>3</v>
      </c>
      <c r="BH13" s="137">
        <f>BD13-2</f>
        <v>30</v>
      </c>
      <c r="BI13" s="137">
        <f>BF13</f>
        <v>52</v>
      </c>
      <c r="BJ13" s="137">
        <f>U13+10</f>
        <v>139</v>
      </c>
      <c r="BK13" s="137">
        <f>BB13</f>
        <v>32</v>
      </c>
      <c r="BL13" s="137">
        <f>BC13</f>
        <v>54</v>
      </c>
      <c r="BM13" s="137">
        <f>BK13-1</f>
        <v>31</v>
      </c>
      <c r="BN13" s="137">
        <f>BL13-1</f>
        <v>53</v>
      </c>
      <c r="BU13" s="222" t="s">
        <v>346</v>
      </c>
      <c r="BV13" s="42" t="s">
        <v>342</v>
      </c>
      <c r="BW13" s="60" t="s">
        <v>344</v>
      </c>
      <c r="BX13" s="40" t="s">
        <v>326</v>
      </c>
      <c r="CB13" s="60"/>
      <c r="CC13" s="201"/>
    </row>
    <row r="14" spans="1:81" ht="24.5" customHeight="1" x14ac:dyDescent="0.35">
      <c r="A14" s="88">
        <v>44758</v>
      </c>
      <c r="B14" s="77">
        <v>0.48958333333333331</v>
      </c>
      <c r="C14" s="88"/>
      <c r="D14" s="78" t="s">
        <v>229</v>
      </c>
      <c r="E14" s="78"/>
      <c r="F14" s="78">
        <v>389</v>
      </c>
      <c r="G14" s="78">
        <v>74</v>
      </c>
      <c r="H14" s="78">
        <v>140</v>
      </c>
      <c r="I14" s="78">
        <f>F14-5</f>
        <v>384</v>
      </c>
      <c r="J14" s="78">
        <v>287</v>
      </c>
      <c r="K14" s="154">
        <f>I14-J14</f>
        <v>97</v>
      </c>
      <c r="L14" s="78">
        <f>K14</f>
        <v>97</v>
      </c>
      <c r="M14" s="78">
        <v>381</v>
      </c>
      <c r="N14" s="78">
        <v>64</v>
      </c>
      <c r="O14" s="78">
        <v>154</v>
      </c>
      <c r="P14" s="78">
        <v>48</v>
      </c>
      <c r="Q14" s="137">
        <f>P14-1</f>
        <v>47</v>
      </c>
      <c r="R14" s="137">
        <f>Q14+20</f>
        <v>67</v>
      </c>
      <c r="S14" s="137">
        <f t="shared" si="22"/>
        <v>389</v>
      </c>
      <c r="T14" s="137">
        <f t="shared" si="22"/>
        <v>74</v>
      </c>
      <c r="U14" s="137">
        <v>129</v>
      </c>
      <c r="V14" s="78">
        <v>345</v>
      </c>
      <c r="W14" s="78">
        <v>61</v>
      </c>
      <c r="X14" s="137">
        <v>130</v>
      </c>
      <c r="Y14" s="196">
        <v>0.75</v>
      </c>
      <c r="Z14" s="208">
        <f t="shared" si="19"/>
        <v>3.7536000000000023</v>
      </c>
      <c r="AA14" s="196">
        <v>0.33360000000000001</v>
      </c>
      <c r="AB14" s="78">
        <v>15</v>
      </c>
      <c r="AC14" s="78">
        <v>40</v>
      </c>
      <c r="AD14" s="89">
        <v>0.73399999999999999</v>
      </c>
      <c r="AE14" s="89">
        <v>0.94299999999999995</v>
      </c>
      <c r="AF14" s="78" t="s">
        <v>172</v>
      </c>
      <c r="AG14" s="79">
        <f t="shared" si="20"/>
        <v>25.92</v>
      </c>
      <c r="AH14" s="212">
        <v>3.41</v>
      </c>
      <c r="AI14" s="78" t="s">
        <v>172</v>
      </c>
      <c r="AJ14" s="78" t="s">
        <v>172</v>
      </c>
      <c r="AK14" s="78" t="s">
        <v>172</v>
      </c>
      <c r="AL14" s="78">
        <v>45</v>
      </c>
      <c r="AM14" s="196">
        <f>AH14-0.065</f>
        <v>3.3450000000000002</v>
      </c>
      <c r="AN14" s="78">
        <v>30</v>
      </c>
      <c r="AO14" s="78" t="s">
        <v>172</v>
      </c>
      <c r="AP14" s="213">
        <f t="shared" si="21"/>
        <v>31.679999999999964</v>
      </c>
      <c r="AQ14" s="212">
        <v>3.8</v>
      </c>
      <c r="AR14" s="78" t="s">
        <v>172</v>
      </c>
      <c r="AS14" s="78" t="s">
        <v>172</v>
      </c>
      <c r="AT14" s="78">
        <v>30</v>
      </c>
      <c r="AU14" s="137">
        <f>AG14+AP14</f>
        <v>57.599999999999966</v>
      </c>
      <c r="AV14" s="211">
        <f>AQ14+AH14</f>
        <v>7.21</v>
      </c>
      <c r="AW14" s="78"/>
      <c r="AX14" s="78" t="s">
        <v>172</v>
      </c>
      <c r="AY14" s="78" t="s">
        <v>172</v>
      </c>
      <c r="AZ14" s="78" t="s">
        <v>172</v>
      </c>
      <c r="BA14" s="197">
        <v>4.4429999999999996</v>
      </c>
      <c r="BB14" s="78">
        <v>31</v>
      </c>
      <c r="BC14" s="137">
        <f>W14-4</f>
        <v>57</v>
      </c>
      <c r="BD14" s="78">
        <v>34</v>
      </c>
      <c r="BE14" s="137">
        <f>BB14-2</f>
        <v>29</v>
      </c>
      <c r="BF14" s="137">
        <f>BC14-2</f>
        <v>55</v>
      </c>
      <c r="BG14" s="78">
        <v>3</v>
      </c>
      <c r="BH14" s="137">
        <f>BD14-2</f>
        <v>32</v>
      </c>
      <c r="BI14" s="137">
        <f>BF14</f>
        <v>55</v>
      </c>
      <c r="BJ14" s="137">
        <f>U14+10</f>
        <v>139</v>
      </c>
      <c r="BK14" s="137">
        <f>BB14</f>
        <v>31</v>
      </c>
      <c r="BL14" s="137">
        <f>BC14</f>
        <v>57</v>
      </c>
      <c r="BM14" s="137">
        <f>BK14-1</f>
        <v>30</v>
      </c>
      <c r="BN14" s="137">
        <f>BL14-1</f>
        <v>56</v>
      </c>
      <c r="BU14" s="219"/>
      <c r="BV14" s="42" t="s">
        <v>343</v>
      </c>
      <c r="BW14" s="60" t="s">
        <v>345</v>
      </c>
      <c r="BX14" s="40" t="s">
        <v>326</v>
      </c>
      <c r="CB14" s="60"/>
      <c r="CC14" s="201"/>
    </row>
    <row r="15" spans="1:81" ht="24.5" customHeight="1" x14ac:dyDescent="0.35">
      <c r="A15" s="88">
        <v>44758</v>
      </c>
      <c r="B15" s="77">
        <v>0.5</v>
      </c>
      <c r="C15" s="88"/>
      <c r="D15" s="78" t="s">
        <v>171</v>
      </c>
      <c r="E15" s="78"/>
      <c r="F15" s="78">
        <v>453</v>
      </c>
      <c r="G15" s="78">
        <v>75</v>
      </c>
      <c r="H15" s="78"/>
      <c r="I15" s="78">
        <f>F15-5</f>
        <v>448</v>
      </c>
      <c r="J15" s="78">
        <v>288</v>
      </c>
      <c r="K15" s="154">
        <f>I15-J15</f>
        <v>160</v>
      </c>
      <c r="L15" s="78">
        <f>K15</f>
        <v>160</v>
      </c>
      <c r="M15" s="78">
        <v>443</v>
      </c>
      <c r="N15" s="78">
        <v>65</v>
      </c>
      <c r="O15" s="78">
        <v>155</v>
      </c>
      <c r="P15" s="78">
        <v>46</v>
      </c>
      <c r="Q15" s="137">
        <f>P15-1</f>
        <v>45</v>
      </c>
      <c r="R15" s="137">
        <f>Q15+20</f>
        <v>65</v>
      </c>
      <c r="S15" s="137">
        <f t="shared" si="22"/>
        <v>453</v>
      </c>
      <c r="T15" s="137">
        <f t="shared" si="22"/>
        <v>75</v>
      </c>
      <c r="U15" s="137">
        <v>129</v>
      </c>
      <c r="V15" s="78">
        <v>396</v>
      </c>
      <c r="W15" s="78">
        <v>63</v>
      </c>
      <c r="X15" s="78">
        <v>134</v>
      </c>
      <c r="Y15" s="196">
        <v>0.75</v>
      </c>
      <c r="Z15" s="208">
        <f t="shared" si="19"/>
        <v>3.6575999999999969</v>
      </c>
      <c r="AA15" s="196">
        <v>0.37169999999999997</v>
      </c>
      <c r="AB15" s="78">
        <v>15</v>
      </c>
      <c r="AC15" s="78">
        <v>40</v>
      </c>
      <c r="AD15" s="89">
        <v>0.73399999999999999</v>
      </c>
      <c r="AE15" s="89">
        <v>0.94299999999999995</v>
      </c>
      <c r="AF15" s="78" t="s">
        <v>172</v>
      </c>
      <c r="AG15" s="79">
        <f t="shared" si="20"/>
        <v>26.879999999999981</v>
      </c>
      <c r="AH15" s="212">
        <v>3.69</v>
      </c>
      <c r="AI15" s="78" t="s">
        <v>172</v>
      </c>
      <c r="AJ15" s="78" t="s">
        <v>172</v>
      </c>
      <c r="AK15" s="78" t="s">
        <v>172</v>
      </c>
      <c r="AL15" s="78">
        <v>46</v>
      </c>
      <c r="AM15" s="196">
        <f>AH15-0.065</f>
        <v>3.625</v>
      </c>
      <c r="AN15" s="78">
        <v>20</v>
      </c>
      <c r="AO15" s="78" t="s">
        <v>172</v>
      </c>
      <c r="AP15" s="213">
        <f t="shared" si="21"/>
        <v>32.639999999999986</v>
      </c>
      <c r="AQ15" s="212">
        <v>4.1399999999999997</v>
      </c>
      <c r="AR15" s="78" t="s">
        <v>172</v>
      </c>
      <c r="AS15" s="78" t="s">
        <v>172</v>
      </c>
      <c r="AT15" s="78">
        <v>20</v>
      </c>
      <c r="AU15" s="137">
        <f>AG15+AP15</f>
        <v>59.519999999999968</v>
      </c>
      <c r="AV15" s="211">
        <f>AQ15+AH15</f>
        <v>7.83</v>
      </c>
      <c r="AW15" s="78"/>
      <c r="AX15" s="78" t="s">
        <v>172</v>
      </c>
      <c r="AY15" s="78" t="s">
        <v>172</v>
      </c>
      <c r="AZ15" s="78" t="s">
        <v>172</v>
      </c>
      <c r="BA15" s="197"/>
      <c r="BB15" s="78"/>
      <c r="BC15" s="78"/>
      <c r="BD15" s="78"/>
      <c r="BE15" s="78"/>
      <c r="BF15" s="78"/>
      <c r="BG15" s="78"/>
      <c r="BH15" s="137"/>
      <c r="BI15" s="78"/>
      <c r="BJ15" s="78"/>
      <c r="BK15" s="78"/>
      <c r="BL15" s="78"/>
      <c r="BM15" s="78"/>
      <c r="BN15" s="78"/>
      <c r="BU15" s="219" t="s">
        <v>337</v>
      </c>
      <c r="BV15" s="42" t="s">
        <v>338</v>
      </c>
      <c r="BW15" s="60" t="s">
        <v>339</v>
      </c>
      <c r="BX15" s="40" t="s">
        <v>326</v>
      </c>
      <c r="CB15" s="60"/>
      <c r="CC15" s="201"/>
    </row>
    <row r="16" spans="1:81" ht="24.5" customHeight="1" x14ac:dyDescent="0.35">
      <c r="A16" s="88"/>
      <c r="B16" s="77"/>
      <c r="C16" s="88"/>
      <c r="D16" s="78"/>
      <c r="E16" s="78"/>
      <c r="F16" s="78"/>
      <c r="G16" s="78"/>
      <c r="H16" s="78"/>
      <c r="I16" s="78"/>
      <c r="J16" s="78"/>
      <c r="K16" s="154"/>
      <c r="L16" s="78"/>
      <c r="M16" s="78"/>
      <c r="N16" s="78"/>
      <c r="O16" s="78"/>
      <c r="P16" s="78"/>
      <c r="Q16" s="137"/>
      <c r="R16" s="137"/>
      <c r="S16" s="137"/>
      <c r="T16" s="137"/>
      <c r="U16" s="137"/>
      <c r="V16" s="78"/>
      <c r="W16" s="78"/>
      <c r="X16" s="78"/>
      <c r="Y16" s="196"/>
      <c r="Z16" s="154"/>
      <c r="AA16" s="196">
        <v>0.41020000000000001</v>
      </c>
      <c r="AB16" s="137"/>
      <c r="AC16" s="137"/>
      <c r="AD16" s="89"/>
      <c r="AE16" s="89"/>
      <c r="AF16" s="78"/>
      <c r="AG16" s="78"/>
      <c r="AH16" s="212">
        <v>3.98</v>
      </c>
      <c r="AI16" s="78"/>
      <c r="AJ16" s="78"/>
      <c r="AK16" s="78"/>
      <c r="AL16" s="78"/>
      <c r="AM16" s="196"/>
      <c r="AN16" s="78"/>
      <c r="AO16" s="78"/>
      <c r="AP16" s="78"/>
      <c r="AQ16" s="212">
        <v>4.49</v>
      </c>
      <c r="AR16" s="78"/>
      <c r="AS16" s="78"/>
      <c r="AT16" s="78"/>
      <c r="AU16" s="137"/>
      <c r="AV16" s="211"/>
      <c r="AW16" s="78"/>
      <c r="AX16" s="78"/>
      <c r="AY16" s="78"/>
      <c r="AZ16" s="78"/>
      <c r="BA16" s="197"/>
      <c r="BB16" s="78"/>
      <c r="BC16" s="137"/>
      <c r="BD16" s="78"/>
      <c r="BE16" s="137"/>
      <c r="BF16" s="137"/>
      <c r="BG16" s="78"/>
      <c r="BH16" s="137"/>
      <c r="BI16" s="137"/>
      <c r="BJ16" s="137"/>
      <c r="BK16" s="137"/>
      <c r="BL16" s="137"/>
      <c r="BM16" s="137"/>
      <c r="BN16" s="137"/>
      <c r="BU16" s="220"/>
      <c r="BV16" s="42" t="s">
        <v>340</v>
      </c>
      <c r="BW16" s="60" t="s">
        <v>341</v>
      </c>
      <c r="BX16" s="40" t="s">
        <v>326</v>
      </c>
      <c r="CB16" s="60"/>
      <c r="CC16" s="201"/>
    </row>
    <row r="17" spans="27:83" x14ac:dyDescent="0.35">
      <c r="AA17" s="198">
        <v>0.44950000000000001</v>
      </c>
      <c r="AH17" s="212">
        <v>4.33</v>
      </c>
      <c r="AQ17" s="212">
        <v>4.84</v>
      </c>
      <c r="BU17" s="216" t="s">
        <v>322</v>
      </c>
      <c r="BV17" s="42" t="s">
        <v>243</v>
      </c>
      <c r="BW17" s="60" t="s">
        <v>244</v>
      </c>
      <c r="BX17" s="40" t="s">
        <v>326</v>
      </c>
      <c r="CB17" s="60" t="s">
        <v>315</v>
      </c>
      <c r="CC17" s="60" t="s">
        <v>316</v>
      </c>
    </row>
    <row r="18" spans="27:83" ht="26" x14ac:dyDescent="0.35">
      <c r="AA18" s="198">
        <v>0.48849999999999999</v>
      </c>
      <c r="AH18" s="212">
        <v>4.55</v>
      </c>
      <c r="AQ18" s="212">
        <v>5.07</v>
      </c>
      <c r="BU18" s="218"/>
      <c r="BV18" s="42" t="s">
        <v>207</v>
      </c>
      <c r="BW18" s="60" t="s">
        <v>245</v>
      </c>
      <c r="BX18" s="40" t="s">
        <v>326</v>
      </c>
      <c r="CB18" s="60" t="s">
        <v>317</v>
      </c>
      <c r="CC18" s="60" t="s">
        <v>320</v>
      </c>
      <c r="CE18" s="35" t="s">
        <v>318</v>
      </c>
    </row>
    <row r="19" spans="27:83" x14ac:dyDescent="0.35">
      <c r="AA19" s="198">
        <v>0.52629999999999999</v>
      </c>
      <c r="AH19" s="212">
        <v>4.87</v>
      </c>
      <c r="AQ19" s="212">
        <v>5.38</v>
      </c>
      <c r="BU19" s="218"/>
      <c r="BV19" s="42" t="s">
        <v>208</v>
      </c>
      <c r="BW19" s="60" t="s">
        <v>247</v>
      </c>
      <c r="BX19" s="40" t="s">
        <v>326</v>
      </c>
    </row>
    <row r="20" spans="27:83" x14ac:dyDescent="0.35">
      <c r="AA20" s="198">
        <v>0.56510000000000005</v>
      </c>
      <c r="AH20" s="212">
        <v>5.24</v>
      </c>
      <c r="AQ20" s="212">
        <v>5.75</v>
      </c>
      <c r="BU20" s="217"/>
      <c r="BV20" s="42" t="s">
        <v>209</v>
      </c>
      <c r="BW20" s="60" t="s">
        <v>248</v>
      </c>
      <c r="BX20" s="40" t="s">
        <v>326</v>
      </c>
    </row>
    <row r="21" spans="27:83" x14ac:dyDescent="0.35">
      <c r="AA21" s="198">
        <v>0.60429999999999995</v>
      </c>
      <c r="AH21" s="212">
        <v>5.53</v>
      </c>
      <c r="AQ21" s="212">
        <v>6.1</v>
      </c>
      <c r="BU21" s="222" t="s">
        <v>210</v>
      </c>
      <c r="BV21" s="42" t="s">
        <v>211</v>
      </c>
      <c r="BW21" s="60" t="s">
        <v>246</v>
      </c>
      <c r="BX21" s="40" t="s">
        <v>326</v>
      </c>
    </row>
    <row r="22" spans="27:83" x14ac:dyDescent="0.35">
      <c r="AA22" s="198">
        <v>0.64349999999999996</v>
      </c>
      <c r="AH22" s="212">
        <v>5.79</v>
      </c>
      <c r="AQ22" s="212">
        <v>6.4</v>
      </c>
      <c r="BU22" s="220"/>
      <c r="BV22" s="42" t="s">
        <v>212</v>
      </c>
      <c r="BW22" s="60" t="s">
        <v>249</v>
      </c>
      <c r="BX22" s="40" t="s">
        <v>326</v>
      </c>
    </row>
    <row r="23" spans="27:83" x14ac:dyDescent="0.35">
      <c r="AA23" s="198">
        <v>0.68179999999999996</v>
      </c>
      <c r="AH23" s="212">
        <v>6.1</v>
      </c>
      <c r="AQ23" s="212">
        <v>6.76</v>
      </c>
      <c r="BU23" s="216" t="s">
        <v>218</v>
      </c>
      <c r="BV23" s="42" t="s">
        <v>219</v>
      </c>
      <c r="BW23" s="60" t="s">
        <v>250</v>
      </c>
      <c r="BX23" s="40" t="s">
        <v>326</v>
      </c>
    </row>
    <row r="24" spans="27:83" x14ac:dyDescent="0.35">
      <c r="AH24" s="212">
        <v>6.41</v>
      </c>
      <c r="AQ24" s="212">
        <v>7.13</v>
      </c>
      <c r="BU24" s="217"/>
      <c r="BV24" s="42" t="s">
        <v>220</v>
      </c>
      <c r="BW24" s="60" t="s">
        <v>251</v>
      </c>
      <c r="BX24" s="40" t="s">
        <v>326</v>
      </c>
    </row>
    <row r="25" spans="27:83" x14ac:dyDescent="0.35">
      <c r="AH25" s="212">
        <v>6.73</v>
      </c>
      <c r="AQ25" s="212">
        <v>7.5</v>
      </c>
      <c r="BU25" s="216" t="s">
        <v>359</v>
      </c>
      <c r="BV25" s="42" t="s">
        <v>181</v>
      </c>
      <c r="BW25" s="60" t="s">
        <v>252</v>
      </c>
      <c r="BX25" s="40" t="s">
        <v>326</v>
      </c>
    </row>
    <row r="26" spans="27:83" x14ac:dyDescent="0.35">
      <c r="AH26" s="212">
        <v>7.02</v>
      </c>
      <c r="AQ26" s="212">
        <v>7.84</v>
      </c>
      <c r="BU26" s="217"/>
      <c r="BV26" s="42" t="s">
        <v>327</v>
      </c>
      <c r="BW26" s="60" t="s">
        <v>328</v>
      </c>
      <c r="BX26" s="40" t="s">
        <v>326</v>
      </c>
    </row>
    <row r="27" spans="27:83" x14ac:dyDescent="0.35">
      <c r="AH27" s="212">
        <v>7.31</v>
      </c>
      <c r="AQ27" s="212">
        <v>8.18</v>
      </c>
      <c r="BU27" s="216" t="s">
        <v>323</v>
      </c>
      <c r="BV27" s="41" t="s">
        <v>256</v>
      </c>
      <c r="BW27" s="60" t="s">
        <v>254</v>
      </c>
      <c r="BX27" s="40" t="s">
        <v>326</v>
      </c>
    </row>
    <row r="28" spans="27:83" x14ac:dyDescent="0.35">
      <c r="AH28" s="212">
        <v>7.62</v>
      </c>
      <c r="BU28" s="218"/>
      <c r="BV28" s="41" t="s">
        <v>259</v>
      </c>
      <c r="BW28" s="60" t="s">
        <v>255</v>
      </c>
      <c r="BX28" s="40" t="s">
        <v>326</v>
      </c>
    </row>
    <row r="29" spans="27:83" x14ac:dyDescent="0.35">
      <c r="BU29" s="218"/>
      <c r="BV29" s="41" t="s">
        <v>260</v>
      </c>
      <c r="BW29" s="60" t="s">
        <v>261</v>
      </c>
      <c r="BX29" s="40" t="s">
        <v>326</v>
      </c>
    </row>
    <row r="30" spans="27:83" x14ac:dyDescent="0.35">
      <c r="BU30" s="218"/>
      <c r="BV30" s="132" t="s">
        <v>262</v>
      </c>
      <c r="BW30" s="60" t="s">
        <v>263</v>
      </c>
      <c r="BX30" s="40"/>
    </row>
    <row r="31" spans="27:83" x14ac:dyDescent="0.35">
      <c r="BU31" s="218"/>
      <c r="BV31" s="156" t="s">
        <v>146</v>
      </c>
      <c r="BW31" s="60" t="s">
        <v>253</v>
      </c>
    </row>
    <row r="32" spans="27:83" x14ac:dyDescent="0.35">
      <c r="BU32" s="218"/>
      <c r="BV32" s="156" t="s">
        <v>349</v>
      </c>
      <c r="BW32" s="60" t="s">
        <v>350</v>
      </c>
      <c r="BX32" s="40" t="s">
        <v>326</v>
      </c>
    </row>
    <row r="33" spans="73:76" x14ac:dyDescent="0.35">
      <c r="BU33" s="218"/>
      <c r="BV33" s="156" t="s">
        <v>347</v>
      </c>
      <c r="BW33" s="60" t="s">
        <v>348</v>
      </c>
      <c r="BX33" s="40" t="s">
        <v>326</v>
      </c>
    </row>
    <row r="34" spans="73:76" x14ac:dyDescent="0.35">
      <c r="BU34" s="217"/>
      <c r="BV34" s="161" t="s">
        <v>264</v>
      </c>
      <c r="BW34" s="60" t="s">
        <v>265</v>
      </c>
    </row>
    <row r="35" spans="73:76" ht="15" x14ac:dyDescent="0.35">
      <c r="BU35" s="60"/>
      <c r="BV35" s="133" t="s">
        <v>266</v>
      </c>
      <c r="BW35" s="78" t="str">
        <f>BV35</f>
        <v xml:space="preserve">CO2 Content </v>
      </c>
    </row>
    <row r="36" spans="73:76" ht="15" x14ac:dyDescent="0.35">
      <c r="BU36" s="60"/>
      <c r="BV36" s="133" t="s">
        <v>268</v>
      </c>
      <c r="BW36" s="78" t="str">
        <f>BV36</f>
        <v xml:space="preserve">H2S Content </v>
      </c>
    </row>
    <row r="37" spans="73:76" x14ac:dyDescent="0.35">
      <c r="BU37" s="60"/>
      <c r="BV37" s="138" t="s">
        <v>185</v>
      </c>
      <c r="BW37" s="60" t="s">
        <v>269</v>
      </c>
    </row>
    <row r="38" spans="73:76" x14ac:dyDescent="0.35">
      <c r="BU38" s="60"/>
      <c r="BV38" s="139" t="s">
        <v>107</v>
      </c>
      <c r="BW38" s="60" t="s">
        <v>271</v>
      </c>
    </row>
    <row r="39" spans="73:76" x14ac:dyDescent="0.35">
      <c r="BU39" s="60"/>
      <c r="BV39" s="139" t="s">
        <v>118</v>
      </c>
      <c r="BW39" s="60" t="s">
        <v>270</v>
      </c>
    </row>
    <row r="40" spans="73:76" x14ac:dyDescent="0.35">
      <c r="BU40" s="60"/>
      <c r="BV40" s="157" t="s">
        <v>94</v>
      </c>
      <c r="BW40" s="90" t="str">
        <f>BV40</f>
        <v xml:space="preserve">Oil Flow Rate </v>
      </c>
    </row>
    <row r="41" spans="73:76" x14ac:dyDescent="0.35">
      <c r="BU41" s="60" t="s">
        <v>323</v>
      </c>
      <c r="BV41" s="140" t="s">
        <v>274</v>
      </c>
      <c r="BW41" s="60" t="s">
        <v>272</v>
      </c>
      <c r="BX41" s="40" t="s">
        <v>326</v>
      </c>
    </row>
    <row r="42" spans="73:76" ht="32.5" customHeight="1" x14ac:dyDescent="0.35">
      <c r="BU42" s="60"/>
      <c r="BV42" s="134" t="s">
        <v>303</v>
      </c>
      <c r="BW42" s="60" t="s">
        <v>277</v>
      </c>
    </row>
    <row r="43" spans="73:76" x14ac:dyDescent="0.35">
      <c r="BU43" s="60"/>
      <c r="BV43" s="157" t="s">
        <v>115</v>
      </c>
      <c r="BW43" s="60" t="s">
        <v>278</v>
      </c>
    </row>
    <row r="44" spans="73:76" x14ac:dyDescent="0.35">
      <c r="BU44" s="60"/>
      <c r="BV44" s="141" t="s">
        <v>304</v>
      </c>
      <c r="BW44" s="170" t="s">
        <v>95</v>
      </c>
    </row>
    <row r="45" spans="73:76" x14ac:dyDescent="0.35">
      <c r="BU45" s="60" t="s">
        <v>323</v>
      </c>
      <c r="BV45" s="107" t="s">
        <v>225</v>
      </c>
      <c r="BW45" s="169" t="s">
        <v>279</v>
      </c>
      <c r="BX45" s="35" t="s">
        <v>326</v>
      </c>
    </row>
    <row r="46" spans="73:76" x14ac:dyDescent="0.35">
      <c r="BU46" s="60" t="s">
        <v>323</v>
      </c>
      <c r="BV46" s="107" t="s">
        <v>222</v>
      </c>
      <c r="BW46" s="60" t="s">
        <v>280</v>
      </c>
      <c r="BX46" s="35" t="s">
        <v>326</v>
      </c>
    </row>
    <row r="47" spans="73:76" x14ac:dyDescent="0.35">
      <c r="BU47" s="60" t="s">
        <v>323</v>
      </c>
      <c r="BV47" s="107" t="s">
        <v>183</v>
      </c>
      <c r="BW47" s="60" t="s">
        <v>281</v>
      </c>
      <c r="BX47" s="35" t="s">
        <v>326</v>
      </c>
    </row>
    <row r="48" spans="73:76" x14ac:dyDescent="0.35">
      <c r="BU48" s="60"/>
      <c r="BV48" s="134" t="s">
        <v>107</v>
      </c>
      <c r="BW48" s="60" t="s">
        <v>107</v>
      </c>
    </row>
    <row r="49" spans="73:76" x14ac:dyDescent="0.35">
      <c r="BU49" s="60"/>
      <c r="BV49" s="157" t="s">
        <v>96</v>
      </c>
      <c r="BW49" s="60" t="s">
        <v>134</v>
      </c>
      <c r="BX49" s="40"/>
    </row>
    <row r="50" spans="73:76" x14ac:dyDescent="0.35">
      <c r="BU50" s="60" t="s">
        <v>323</v>
      </c>
      <c r="BV50" s="73" t="s">
        <v>275</v>
      </c>
      <c r="BW50" s="60" t="s">
        <v>282</v>
      </c>
      <c r="BX50" s="40" t="s">
        <v>326</v>
      </c>
    </row>
    <row r="51" spans="73:76" x14ac:dyDescent="0.35">
      <c r="BU51" s="60"/>
      <c r="BV51" s="135" t="s">
        <v>97</v>
      </c>
      <c r="BW51" s="60" t="s">
        <v>97</v>
      </c>
    </row>
    <row r="52" spans="73:76" x14ac:dyDescent="0.35">
      <c r="BU52" s="60"/>
      <c r="BV52" s="135" t="s">
        <v>98</v>
      </c>
      <c r="BW52" s="60" t="s">
        <v>98</v>
      </c>
    </row>
    <row r="53" spans="73:76" x14ac:dyDescent="0.35">
      <c r="BU53" s="60" t="s">
        <v>323</v>
      </c>
      <c r="BV53" s="128" t="s">
        <v>186</v>
      </c>
      <c r="BW53" s="60" t="s">
        <v>283</v>
      </c>
      <c r="BX53" s="40" t="s">
        <v>326</v>
      </c>
    </row>
    <row r="54" spans="73:76" x14ac:dyDescent="0.35">
      <c r="BU54" s="60"/>
      <c r="BV54" s="157" t="s">
        <v>284</v>
      </c>
      <c r="BW54" s="60" t="s">
        <v>285</v>
      </c>
    </row>
    <row r="55" spans="73:76" x14ac:dyDescent="0.35">
      <c r="BU55" s="60" t="s">
        <v>323</v>
      </c>
      <c r="BV55" s="158" t="s">
        <v>286</v>
      </c>
      <c r="BW55" s="60" t="s">
        <v>287</v>
      </c>
      <c r="BX55" s="40" t="s">
        <v>326</v>
      </c>
    </row>
    <row r="56" spans="73:76" x14ac:dyDescent="0.35">
      <c r="BU56" s="60"/>
      <c r="BV56" s="158" t="s">
        <v>214</v>
      </c>
      <c r="BW56" s="60" t="s">
        <v>213</v>
      </c>
    </row>
    <row r="57" spans="73:76" x14ac:dyDescent="0.35">
      <c r="BU57" s="60"/>
      <c r="BV57" s="160" t="s">
        <v>215</v>
      </c>
      <c r="BW57" s="60" t="s">
        <v>288</v>
      </c>
    </row>
    <row r="58" spans="73:76" x14ac:dyDescent="0.35">
      <c r="BU58" s="60"/>
      <c r="BV58" s="159" t="s">
        <v>216</v>
      </c>
      <c r="BW58" s="60" t="s">
        <v>117</v>
      </c>
    </row>
    <row r="59" spans="73:76" x14ac:dyDescent="0.35">
      <c r="BU59" s="60"/>
      <c r="BV59" s="159" t="s">
        <v>217</v>
      </c>
      <c r="BW59" s="60" t="s">
        <v>116</v>
      </c>
    </row>
    <row r="60" spans="73:76" x14ac:dyDescent="0.35">
      <c r="BU60" s="60" t="s">
        <v>323</v>
      </c>
      <c r="BV60" s="136" t="s">
        <v>114</v>
      </c>
      <c r="BW60" s="60" t="s">
        <v>289</v>
      </c>
      <c r="BX60" s="40" t="s">
        <v>326</v>
      </c>
    </row>
    <row r="61" spans="73:76" x14ac:dyDescent="0.35">
      <c r="BU61" s="216" t="s">
        <v>330</v>
      </c>
      <c r="BV61" s="148" t="s">
        <v>187</v>
      </c>
      <c r="BW61" s="60" t="s">
        <v>292</v>
      </c>
      <c r="BX61" s="40" t="s">
        <v>326</v>
      </c>
    </row>
    <row r="62" spans="73:76" x14ac:dyDescent="0.35">
      <c r="BU62" s="218"/>
      <c r="BV62" s="148" t="s">
        <v>188</v>
      </c>
      <c r="BW62" s="60" t="s">
        <v>293</v>
      </c>
      <c r="BX62" s="40" t="s">
        <v>326</v>
      </c>
    </row>
    <row r="63" spans="73:76" ht="26.5" customHeight="1" x14ac:dyDescent="0.35">
      <c r="BU63" s="218"/>
      <c r="BV63" s="148" t="s">
        <v>351</v>
      </c>
      <c r="BW63" s="60" t="s">
        <v>354</v>
      </c>
      <c r="BX63" s="40" t="s">
        <v>326</v>
      </c>
    </row>
    <row r="64" spans="73:76" ht="26.5" customHeight="1" x14ac:dyDescent="0.35">
      <c r="BU64" s="217"/>
      <c r="BV64" s="148" t="s">
        <v>352</v>
      </c>
      <c r="BW64" s="60" t="s">
        <v>353</v>
      </c>
      <c r="BX64" s="40" t="s">
        <v>326</v>
      </c>
    </row>
    <row r="65" spans="73:76" x14ac:dyDescent="0.35">
      <c r="BU65" s="216" t="s">
        <v>329</v>
      </c>
      <c r="BV65" s="148" t="s">
        <v>190</v>
      </c>
      <c r="BW65" s="60" t="s">
        <v>290</v>
      </c>
      <c r="BX65" s="40" t="s">
        <v>326</v>
      </c>
    </row>
    <row r="66" spans="73:76" x14ac:dyDescent="0.35">
      <c r="BU66" s="218"/>
      <c r="BV66" s="148" t="s">
        <v>191</v>
      </c>
      <c r="BW66" s="60" t="s">
        <v>291</v>
      </c>
      <c r="BX66" s="40" t="s">
        <v>326</v>
      </c>
    </row>
    <row r="67" spans="73:76" x14ac:dyDescent="0.35">
      <c r="BU67" s="218"/>
      <c r="BV67" s="148" t="s">
        <v>355</v>
      </c>
      <c r="BW67" s="60" t="s">
        <v>356</v>
      </c>
      <c r="BX67" s="40" t="s">
        <v>326</v>
      </c>
    </row>
    <row r="68" spans="73:76" x14ac:dyDescent="0.35">
      <c r="BU68" s="217"/>
      <c r="BV68" s="148" t="s">
        <v>357</v>
      </c>
      <c r="BW68" s="60" t="s">
        <v>358</v>
      </c>
      <c r="BX68" s="40" t="s">
        <v>326</v>
      </c>
    </row>
    <row r="69" spans="73:76" x14ac:dyDescent="0.35">
      <c r="BU69" s="216" t="s">
        <v>223</v>
      </c>
      <c r="BV69" s="148" t="s">
        <v>195</v>
      </c>
      <c r="BW69" s="60" t="s">
        <v>294</v>
      </c>
      <c r="BX69" s="40" t="s">
        <v>326</v>
      </c>
    </row>
    <row r="70" spans="73:76" x14ac:dyDescent="0.35">
      <c r="BU70" s="217"/>
      <c r="BV70" s="148" t="s">
        <v>196</v>
      </c>
      <c r="BW70" s="60" t="s">
        <v>295</v>
      </c>
      <c r="BX70" s="40" t="s">
        <v>326</v>
      </c>
    </row>
    <row r="71" spans="73:76" x14ac:dyDescent="0.35">
      <c r="BU71" s="60" t="s">
        <v>197</v>
      </c>
      <c r="BV71" s="148" t="s">
        <v>198</v>
      </c>
      <c r="BW71" s="60" t="s">
        <v>296</v>
      </c>
      <c r="BX71" s="40" t="s">
        <v>326</v>
      </c>
    </row>
    <row r="72" spans="73:76" x14ac:dyDescent="0.35">
      <c r="BU72" s="216" t="s">
        <v>331</v>
      </c>
      <c r="BV72" s="148" t="s">
        <v>200</v>
      </c>
      <c r="BW72" s="60" t="s">
        <v>297</v>
      </c>
      <c r="BX72" s="40" t="s">
        <v>326</v>
      </c>
    </row>
    <row r="73" spans="73:76" x14ac:dyDescent="0.35">
      <c r="BU73" s="218"/>
      <c r="BV73" s="148" t="s">
        <v>201</v>
      </c>
      <c r="BW73" s="60" t="s">
        <v>298</v>
      </c>
      <c r="BX73" s="40" t="s">
        <v>326</v>
      </c>
    </row>
    <row r="74" spans="73:76" x14ac:dyDescent="0.35">
      <c r="BU74" s="218"/>
      <c r="BV74" s="148" t="s">
        <v>200</v>
      </c>
      <c r="BW74" s="60" t="s">
        <v>299</v>
      </c>
      <c r="BX74" s="40" t="s">
        <v>326</v>
      </c>
    </row>
    <row r="75" spans="73:76" x14ac:dyDescent="0.35">
      <c r="BU75" s="217"/>
      <c r="BV75" s="148" t="s">
        <v>201</v>
      </c>
      <c r="BW75" s="60" t="s">
        <v>300</v>
      </c>
      <c r="BX75" s="40" t="s">
        <v>326</v>
      </c>
    </row>
  </sheetData>
  <mergeCells count="44">
    <mergeCell ref="BJ3:BJ4"/>
    <mergeCell ref="BK3:BL4"/>
    <mergeCell ref="BM3:BN4"/>
    <mergeCell ref="AE3:AN4"/>
    <mergeCell ref="V3:AD4"/>
    <mergeCell ref="AO3:AT4"/>
    <mergeCell ref="AW3:AZ4"/>
    <mergeCell ref="AU3:AV4"/>
    <mergeCell ref="BB3:BD4"/>
    <mergeCell ref="BE3:BG4"/>
    <mergeCell ref="BH3:BI4"/>
    <mergeCell ref="BA3:BA4"/>
    <mergeCell ref="AO1:BN2"/>
    <mergeCell ref="V1:AD2"/>
    <mergeCell ref="A1:P2"/>
    <mergeCell ref="U1:U2"/>
    <mergeCell ref="AE2:AK2"/>
    <mergeCell ref="A3:A6"/>
    <mergeCell ref="F5:G5"/>
    <mergeCell ref="I5:L5"/>
    <mergeCell ref="M5:P5"/>
    <mergeCell ref="AE1:AK1"/>
    <mergeCell ref="S3:T4"/>
    <mergeCell ref="C3:C6"/>
    <mergeCell ref="B3:B6"/>
    <mergeCell ref="E3:E6"/>
    <mergeCell ref="D3:D6"/>
    <mergeCell ref="F3:P4"/>
    <mergeCell ref="Q3:R4"/>
    <mergeCell ref="U3:U4"/>
    <mergeCell ref="BU4:BU5"/>
    <mergeCell ref="BU25:BU26"/>
    <mergeCell ref="BU65:BU68"/>
    <mergeCell ref="BU13:BU14"/>
    <mergeCell ref="BU6:BU8"/>
    <mergeCell ref="BU9:BU12"/>
    <mergeCell ref="BU17:BU20"/>
    <mergeCell ref="BU21:BU22"/>
    <mergeCell ref="BU69:BU70"/>
    <mergeCell ref="BU61:BU64"/>
    <mergeCell ref="BU72:BU75"/>
    <mergeCell ref="BU15:BU16"/>
    <mergeCell ref="BU23:BU24"/>
    <mergeCell ref="BU27:BU34"/>
  </mergeCells>
  <phoneticPr fontId="13" type="noConversion"/>
  <conditionalFormatting sqref="A1 C3 C1 A7:C7 A3:B5">
    <cfRule type="cellIs" dxfId="6" priority="1" stopIfTrue="1" operator="equal">
      <formula>0</formula>
    </cfRule>
  </conditionalFormatting>
  <pageMargins left="0.70866141732283472" right="0.70866141732283472" top="0.74803149606299213" bottom="0.74803149606299213" header="0.31496062992125984" footer="0.31496062992125984"/>
  <pageSetup scale="28" fitToHeight="0" orientation="landscape" r:id="rId1"/>
  <headerFooter>
    <oddFooter>&amp;C&amp;1#&amp;"Calibri"&amp;6&amp;K737373Sensitivity: Internal (C3)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DB40-BF24-4318-AE68-FF9D9545CD18}">
  <dimension ref="A1"/>
  <sheetViews>
    <sheetView workbookViewId="0"/>
  </sheetViews>
  <sheetFormatPr defaultRowHeight="14.5"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8101"/>
  <sheetViews>
    <sheetView zoomScale="86" zoomScaleNormal="86" workbookViewId="0">
      <pane xSplit="1" ySplit="5" topLeftCell="B6" activePane="bottomRight" state="frozen"/>
      <selection pane="topRight" activeCell="B1" sqref="B1"/>
      <selection pane="bottomLeft" activeCell="A6" sqref="A6"/>
      <selection pane="bottomRight" activeCell="E15" sqref="E15"/>
    </sheetView>
  </sheetViews>
  <sheetFormatPr defaultRowHeight="14.5" x14ac:dyDescent="0.35"/>
  <cols>
    <col min="1" max="1" width="12.1796875" style="72" customWidth="1"/>
    <col min="2" max="2" width="11.54296875" style="62" customWidth="1"/>
    <col min="3" max="3" width="11.54296875" style="64" customWidth="1"/>
    <col min="4" max="4" width="9.81640625" style="62" customWidth="1"/>
    <col min="5" max="5" width="11.54296875" style="64" customWidth="1"/>
    <col min="6" max="6" width="11.54296875" style="111" customWidth="1"/>
    <col min="7" max="7" width="11.54296875" style="101" customWidth="1"/>
    <col min="8" max="8" width="11.54296875" style="95" customWidth="1"/>
    <col min="9" max="9" width="11.54296875" style="64" customWidth="1"/>
    <col min="10" max="10" width="11.54296875" style="65" customWidth="1"/>
    <col min="11" max="11" width="11.54296875" style="101" customWidth="1"/>
    <col min="12" max="12" width="11.54296875" style="95" customWidth="1"/>
    <col min="13" max="13" width="11.54296875" style="65" customWidth="1"/>
    <col min="14" max="14" width="11.54296875" style="101" customWidth="1"/>
    <col min="15" max="15" width="10.453125" style="95" bestFit="1" customWidth="1"/>
    <col min="16" max="16" width="68.54296875" style="62" customWidth="1"/>
  </cols>
  <sheetData>
    <row r="1" spans="1:18" ht="17.25" customHeight="1" x14ac:dyDescent="0.35">
      <c r="A1" s="276" t="s">
        <v>124</v>
      </c>
      <c r="B1" s="276"/>
      <c r="C1" s="276"/>
      <c r="D1" s="276"/>
      <c r="E1" s="276"/>
      <c r="F1" s="276"/>
      <c r="G1" s="276"/>
      <c r="H1" s="276"/>
      <c r="I1" s="276"/>
      <c r="J1" s="276"/>
      <c r="K1" s="276"/>
      <c r="L1" s="276"/>
      <c r="M1" s="276"/>
      <c r="N1" s="276"/>
      <c r="O1" s="276"/>
      <c r="P1" s="277"/>
    </row>
    <row r="2" spans="1:18" ht="17.25" customHeight="1" thickBot="1" x14ac:dyDescent="0.4">
      <c r="A2" s="276"/>
      <c r="B2" s="276"/>
      <c r="C2" s="276"/>
      <c r="D2" s="276"/>
      <c r="E2" s="276"/>
      <c r="F2" s="276"/>
      <c r="G2" s="276"/>
      <c r="H2" s="276"/>
      <c r="I2" s="276"/>
      <c r="J2" s="276"/>
      <c r="K2" s="276"/>
      <c r="L2" s="276"/>
      <c r="M2" s="276"/>
      <c r="N2" s="276"/>
      <c r="O2" s="276"/>
      <c r="P2" s="277"/>
      <c r="Q2" s="44"/>
      <c r="R2" s="44"/>
    </row>
    <row r="3" spans="1:18" ht="21" customHeight="1" thickBot="1" x14ac:dyDescent="0.4">
      <c r="A3" s="278" t="s">
        <v>148</v>
      </c>
      <c r="B3" s="279"/>
      <c r="C3" s="279"/>
      <c r="D3" s="280"/>
      <c r="E3" s="281" t="s">
        <v>125</v>
      </c>
      <c r="F3" s="281"/>
      <c r="G3" s="281"/>
      <c r="H3" s="281"/>
      <c r="I3" s="281"/>
      <c r="J3" s="281"/>
      <c r="K3" s="281"/>
      <c r="L3" s="281"/>
      <c r="M3" s="281"/>
      <c r="N3" s="281"/>
      <c r="O3" s="282"/>
      <c r="P3" s="45"/>
    </row>
    <row r="4" spans="1:18" ht="39" customHeight="1" x14ac:dyDescent="0.35">
      <c r="A4" s="70" t="s">
        <v>2</v>
      </c>
      <c r="B4" s="66" t="s">
        <v>92</v>
      </c>
      <c r="C4" s="46" t="s">
        <v>123</v>
      </c>
      <c r="D4" s="67" t="s">
        <v>141</v>
      </c>
      <c r="E4" s="85" t="s">
        <v>126</v>
      </c>
      <c r="F4" s="108" t="s">
        <v>127</v>
      </c>
      <c r="G4" s="102" t="s">
        <v>128</v>
      </c>
      <c r="H4" s="91" t="s">
        <v>129</v>
      </c>
      <c r="I4" s="82" t="s">
        <v>95</v>
      </c>
      <c r="J4" s="49" t="s">
        <v>130</v>
      </c>
      <c r="K4" s="97" t="s">
        <v>131</v>
      </c>
      <c r="L4" s="91" t="s">
        <v>132</v>
      </c>
      <c r="M4" s="50" t="s">
        <v>133</v>
      </c>
      <c r="N4" s="104" t="s">
        <v>134</v>
      </c>
      <c r="O4" s="106" t="s">
        <v>135</v>
      </c>
      <c r="P4" s="51" t="s">
        <v>136</v>
      </c>
    </row>
    <row r="5" spans="1:18" ht="15" thickBot="1" x14ac:dyDescent="0.4">
      <c r="A5" s="71" t="s">
        <v>144</v>
      </c>
      <c r="B5" s="68" t="s">
        <v>145</v>
      </c>
      <c r="C5" s="52" t="s">
        <v>137</v>
      </c>
      <c r="D5" s="53" t="s">
        <v>138</v>
      </c>
      <c r="E5" s="52" t="s">
        <v>139</v>
      </c>
      <c r="F5" s="109" t="s">
        <v>104</v>
      </c>
      <c r="G5" s="103" t="s">
        <v>103</v>
      </c>
      <c r="H5" s="96" t="s">
        <v>104</v>
      </c>
      <c r="I5" s="52" t="s">
        <v>101</v>
      </c>
      <c r="J5" s="55" t="s">
        <v>104</v>
      </c>
      <c r="K5" s="98" t="s">
        <v>140</v>
      </c>
      <c r="L5" s="92" t="s">
        <v>104</v>
      </c>
      <c r="M5" s="56" t="s">
        <v>104</v>
      </c>
      <c r="N5" s="98" t="s">
        <v>140</v>
      </c>
      <c r="O5" s="92" t="s">
        <v>104</v>
      </c>
      <c r="P5" s="57"/>
    </row>
    <row r="6" spans="1:18" ht="15.75" customHeight="1" x14ac:dyDescent="0.35">
      <c r="A6" s="88">
        <v>44734</v>
      </c>
      <c r="B6" s="74">
        <v>0.10416666666666667</v>
      </c>
      <c r="C6" s="69" t="s">
        <v>147</v>
      </c>
      <c r="D6" s="58"/>
      <c r="E6" s="86">
        <v>30</v>
      </c>
      <c r="F6" s="110"/>
      <c r="G6" s="99"/>
      <c r="H6" s="93">
        <v>10.916762</v>
      </c>
      <c r="I6" s="80"/>
      <c r="J6" s="61"/>
      <c r="K6" s="99"/>
      <c r="L6" s="93">
        <v>9.9746869999999994</v>
      </c>
      <c r="M6" s="61"/>
      <c r="N6" s="99"/>
      <c r="O6" s="93">
        <v>0.94207399999999997</v>
      </c>
      <c r="P6" s="59"/>
      <c r="Q6" s="44"/>
      <c r="R6" s="44"/>
    </row>
    <row r="7" spans="1:18" ht="15.75" customHeight="1" x14ac:dyDescent="0.35">
      <c r="A7" s="88">
        <v>44734</v>
      </c>
      <c r="B7" s="74">
        <v>0.11458333333333333</v>
      </c>
      <c r="C7" s="69" t="s">
        <v>147</v>
      </c>
      <c r="D7" s="60">
        <f t="shared" ref="D7" si="0">(HOUR(B7-B6)*60+MINUTE(B7-B6))</f>
        <v>15</v>
      </c>
      <c r="E7" s="75">
        <v>33</v>
      </c>
      <c r="F7" s="105">
        <f t="shared" ref="F7" si="1">IF(E7&gt;=E6,(E7-E6)*0.1088,"N/A")</f>
        <v>0.32639999999999997</v>
      </c>
      <c r="G7" s="100">
        <f>IFERROR((F7*1440/D7),"N/A")</f>
        <v>31.334399999999999</v>
      </c>
      <c r="H7" s="93">
        <f>IF(D7&gt;0,(H6+F7),H6)</f>
        <v>11.243162</v>
      </c>
      <c r="I7" s="80">
        <v>52</v>
      </c>
      <c r="J7" s="81">
        <f t="shared" ref="J7" si="2">IFERROR(((1-(I7/100))*F7),("N/A"))</f>
        <v>0.15667199999999998</v>
      </c>
      <c r="K7" s="100">
        <f t="shared" ref="K7" si="3">IFERROR((J7*(1440/D7)),"N/A")</f>
        <v>15.040511999999998</v>
      </c>
      <c r="L7" s="94">
        <f>IF(D7&gt;0,J7+L6,L6)</f>
        <v>10.131359</v>
      </c>
      <c r="M7" s="81">
        <f t="shared" ref="M7" si="4">IFERROR(F7-J7,"N/A")</f>
        <v>0.16972799999999999</v>
      </c>
      <c r="N7" s="100">
        <f t="shared" ref="N7" si="5">IFERROR((M7*(1440/D7)),"N/A")</f>
        <v>16.293887999999999</v>
      </c>
      <c r="O7" s="94">
        <f>IF(D7&gt;0,M7+O6,O6)</f>
        <v>1.111802</v>
      </c>
      <c r="P7" s="105"/>
      <c r="Q7" s="44"/>
      <c r="R7" s="44"/>
    </row>
    <row r="8" spans="1:18" x14ac:dyDescent="0.35">
      <c r="N8" s="95"/>
    </row>
    <row r="10" spans="1:18" x14ac:dyDescent="0.35">
      <c r="N10" s="95"/>
    </row>
    <row r="11" spans="1:18" x14ac:dyDescent="0.35">
      <c r="N11" s="95"/>
    </row>
    <row r="8101" spans="21:21" x14ac:dyDescent="0.35">
      <c r="U8101" s="63"/>
    </row>
  </sheetData>
  <mergeCells count="3">
    <mergeCell ref="A1:P2"/>
    <mergeCell ref="A3:D3"/>
    <mergeCell ref="E3:O3"/>
  </mergeCells>
  <phoneticPr fontId="13" type="noConversion"/>
  <conditionalFormatting sqref="A6:A7">
    <cfRule type="cellIs" dxfId="5" priority="65" stopIfTrue="1" operator="equal">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8210"/>
  <sheetViews>
    <sheetView zoomScale="90" zoomScaleNormal="90" workbookViewId="0">
      <pane ySplit="5" topLeftCell="A6" activePane="bottomLeft" state="frozen"/>
      <selection pane="bottomLeft" activeCell="I9" sqref="I9"/>
    </sheetView>
  </sheetViews>
  <sheetFormatPr defaultRowHeight="14.5" x14ac:dyDescent="0.35"/>
  <cols>
    <col min="1" max="1" width="12.1796875" style="72" customWidth="1"/>
    <col min="2" max="2" width="11.54296875" style="62" customWidth="1"/>
    <col min="3" max="3" width="11.54296875" style="64" customWidth="1"/>
    <col min="4" max="4" width="9.81640625" style="62" customWidth="1"/>
    <col min="5" max="5" width="11.54296875" style="64" customWidth="1"/>
    <col min="6" max="6" width="11.54296875" style="65" customWidth="1"/>
    <col min="7" max="7" width="11.54296875" style="64" customWidth="1"/>
    <col min="8" max="8" width="11.54296875" style="65" customWidth="1"/>
    <col min="9" max="9" width="11.54296875" style="64" customWidth="1"/>
    <col min="10" max="10" width="11.54296875" style="65" customWidth="1"/>
    <col min="11" max="11" width="11.54296875" style="64" customWidth="1"/>
    <col min="12" max="14" width="11.54296875" style="65" customWidth="1"/>
    <col min="15" max="15" width="10.453125" style="65" bestFit="1" customWidth="1"/>
    <col min="16" max="16" width="58.453125" style="62" customWidth="1"/>
  </cols>
  <sheetData>
    <row r="1" spans="1:18" ht="17.25" customHeight="1" x14ac:dyDescent="0.35">
      <c r="A1" s="276" t="s">
        <v>124</v>
      </c>
      <c r="B1" s="276"/>
      <c r="C1" s="276"/>
      <c r="D1" s="276"/>
      <c r="E1" s="276"/>
      <c r="F1" s="276"/>
      <c r="G1" s="276"/>
      <c r="H1" s="276"/>
      <c r="I1" s="276"/>
      <c r="J1" s="276"/>
      <c r="K1" s="276"/>
      <c r="L1" s="276"/>
      <c r="M1" s="276"/>
      <c r="N1" s="276"/>
      <c r="O1" s="276"/>
      <c r="P1" s="277"/>
    </row>
    <row r="2" spans="1:18" ht="17.25" customHeight="1" thickBot="1" x14ac:dyDescent="0.4">
      <c r="A2" s="276"/>
      <c r="B2" s="276"/>
      <c r="C2" s="276"/>
      <c r="D2" s="276"/>
      <c r="E2" s="276"/>
      <c r="F2" s="276"/>
      <c r="G2" s="276"/>
      <c r="H2" s="276"/>
      <c r="I2" s="276"/>
      <c r="J2" s="276"/>
      <c r="K2" s="276"/>
      <c r="L2" s="276"/>
      <c r="M2" s="276"/>
      <c r="N2" s="276"/>
      <c r="O2" s="276"/>
      <c r="P2" s="277"/>
      <c r="Q2" s="44"/>
      <c r="R2" s="44"/>
    </row>
    <row r="3" spans="1:18" ht="21" customHeight="1" thickBot="1" x14ac:dyDescent="0.4">
      <c r="A3" s="278" t="s">
        <v>149</v>
      </c>
      <c r="B3" s="279"/>
      <c r="C3" s="279"/>
      <c r="D3" s="280"/>
      <c r="E3" s="281" t="s">
        <v>125</v>
      </c>
      <c r="F3" s="281"/>
      <c r="G3" s="281"/>
      <c r="H3" s="281"/>
      <c r="I3" s="281"/>
      <c r="J3" s="281"/>
      <c r="K3" s="281"/>
      <c r="L3" s="281"/>
      <c r="M3" s="281"/>
      <c r="N3" s="281"/>
      <c r="O3" s="282"/>
      <c r="P3" s="45"/>
    </row>
    <row r="4" spans="1:18" ht="39" customHeight="1" x14ac:dyDescent="0.35">
      <c r="A4" s="70" t="s">
        <v>2</v>
      </c>
      <c r="B4" s="66" t="s">
        <v>92</v>
      </c>
      <c r="C4" s="46" t="s">
        <v>123</v>
      </c>
      <c r="D4" s="67" t="s">
        <v>141</v>
      </c>
      <c r="E4" s="85" t="s">
        <v>126</v>
      </c>
      <c r="F4" s="48" t="s">
        <v>127</v>
      </c>
      <c r="G4" s="83" t="s">
        <v>128</v>
      </c>
      <c r="H4" s="48" t="s">
        <v>129</v>
      </c>
      <c r="I4" s="82" t="s">
        <v>95</v>
      </c>
      <c r="J4" s="49" t="s">
        <v>130</v>
      </c>
      <c r="K4" s="82" t="s">
        <v>131</v>
      </c>
      <c r="L4" s="47" t="s">
        <v>132</v>
      </c>
      <c r="M4" s="50" t="s">
        <v>133</v>
      </c>
      <c r="N4" s="50" t="s">
        <v>134</v>
      </c>
      <c r="O4" s="50" t="s">
        <v>135</v>
      </c>
      <c r="P4" s="51" t="s">
        <v>136</v>
      </c>
    </row>
    <row r="5" spans="1:18" ht="15" thickBot="1" x14ac:dyDescent="0.4">
      <c r="A5" s="71" t="s">
        <v>144</v>
      </c>
      <c r="B5" s="68" t="s">
        <v>145</v>
      </c>
      <c r="C5" s="52" t="s">
        <v>137</v>
      </c>
      <c r="D5" s="53" t="s">
        <v>138</v>
      </c>
      <c r="E5" s="52" t="s">
        <v>139</v>
      </c>
      <c r="F5" s="54" t="s">
        <v>104</v>
      </c>
      <c r="G5" s="52" t="s">
        <v>103</v>
      </c>
      <c r="H5" s="54" t="s">
        <v>104</v>
      </c>
      <c r="I5" s="52" t="s">
        <v>101</v>
      </c>
      <c r="J5" s="55" t="s">
        <v>104</v>
      </c>
      <c r="K5" s="84" t="s">
        <v>140</v>
      </c>
      <c r="L5" s="56" t="s">
        <v>104</v>
      </c>
      <c r="M5" s="56" t="s">
        <v>104</v>
      </c>
      <c r="N5" s="56" t="s">
        <v>140</v>
      </c>
      <c r="O5" s="56" t="s">
        <v>104</v>
      </c>
      <c r="P5" s="57"/>
    </row>
    <row r="6" spans="1:18" ht="15.75" customHeight="1" x14ac:dyDescent="0.35">
      <c r="A6" s="88"/>
      <c r="B6" s="74"/>
      <c r="C6" s="69"/>
      <c r="D6" s="58"/>
      <c r="E6" s="86"/>
      <c r="F6" s="61"/>
      <c r="G6" s="75"/>
      <c r="H6" s="61"/>
      <c r="I6" s="76"/>
      <c r="J6" s="61"/>
      <c r="K6" s="75"/>
      <c r="L6" s="61"/>
      <c r="M6" s="61"/>
      <c r="N6" s="75"/>
      <c r="O6" s="61"/>
      <c r="P6" s="59"/>
      <c r="Q6" s="44"/>
      <c r="R6" s="44"/>
    </row>
    <row r="7" spans="1:18" ht="15.75" customHeight="1" x14ac:dyDescent="0.35">
      <c r="A7" s="88"/>
      <c r="B7" s="74"/>
      <c r="C7" s="69"/>
      <c r="D7" s="60"/>
      <c r="E7" s="75"/>
      <c r="F7" s="105"/>
      <c r="G7" s="100"/>
      <c r="H7" s="94"/>
      <c r="I7" s="80"/>
      <c r="J7" s="81"/>
      <c r="K7" s="100"/>
      <c r="L7" s="94"/>
      <c r="M7" s="81"/>
      <c r="N7" s="100"/>
      <c r="O7" s="94"/>
      <c r="P7" s="81"/>
      <c r="Q7" s="44"/>
      <c r="R7" s="44"/>
    </row>
    <row r="8" spans="1:18" ht="15.75" customHeight="1" x14ac:dyDescent="0.35">
      <c r="A8" s="88"/>
      <c r="B8" s="74"/>
      <c r="C8" s="69"/>
      <c r="D8" s="60"/>
      <c r="E8" s="75"/>
      <c r="F8" s="105"/>
      <c r="G8" s="100"/>
      <c r="H8" s="94"/>
      <c r="I8" s="80"/>
      <c r="J8" s="81"/>
      <c r="K8" s="100"/>
      <c r="L8" s="94"/>
      <c r="M8" s="81"/>
      <c r="N8" s="100"/>
      <c r="O8" s="94"/>
      <c r="P8" s="81"/>
      <c r="Q8" s="44"/>
      <c r="R8" s="44"/>
    </row>
    <row r="9" spans="1:18" ht="15.75" customHeight="1" x14ac:dyDescent="0.35">
      <c r="A9" s="88"/>
      <c r="B9" s="74"/>
      <c r="C9" s="69"/>
      <c r="D9" s="60"/>
      <c r="E9" s="75"/>
      <c r="F9" s="105"/>
      <c r="G9" s="100"/>
      <c r="H9" s="94"/>
      <c r="I9" s="80"/>
      <c r="J9" s="81"/>
      <c r="K9" s="100"/>
      <c r="L9" s="94"/>
      <c r="M9" s="81"/>
      <c r="N9" s="100"/>
      <c r="O9" s="94"/>
      <c r="P9" s="81"/>
      <c r="Q9" s="44"/>
      <c r="R9" s="44"/>
    </row>
    <row r="10" spans="1:18" ht="15.75" customHeight="1" x14ac:dyDescent="0.35">
      <c r="A10" s="88"/>
      <c r="B10" s="74"/>
      <c r="C10" s="69"/>
      <c r="D10" s="60"/>
      <c r="E10" s="75"/>
      <c r="F10" s="105"/>
      <c r="G10" s="100"/>
      <c r="H10" s="94"/>
      <c r="I10" s="80"/>
      <c r="J10" s="81"/>
      <c r="K10" s="100"/>
      <c r="L10" s="94"/>
      <c r="M10" s="81"/>
      <c r="N10" s="100"/>
      <c r="O10" s="94"/>
      <c r="P10" s="81"/>
      <c r="Q10" s="44"/>
      <c r="R10" s="44"/>
    </row>
    <row r="11" spans="1:18" ht="15.75" customHeight="1" x14ac:dyDescent="0.35">
      <c r="A11" s="88"/>
      <c r="B11" s="74"/>
      <c r="C11" s="69"/>
      <c r="D11" s="60"/>
      <c r="E11" s="75"/>
      <c r="F11" s="105"/>
      <c r="G11" s="100"/>
      <c r="H11" s="94"/>
      <c r="I11" s="80"/>
      <c r="J11" s="81"/>
      <c r="K11" s="100"/>
      <c r="L11" s="94"/>
      <c r="M11" s="81"/>
      <c r="N11" s="100"/>
      <c r="O11" s="94"/>
      <c r="P11" s="81"/>
      <c r="Q11" s="44"/>
      <c r="R11" s="44"/>
    </row>
    <row r="12" spans="1:18" ht="15.75" customHeight="1" x14ac:dyDescent="0.35">
      <c r="A12" s="88"/>
      <c r="B12" s="74"/>
      <c r="C12" s="69"/>
      <c r="D12" s="60"/>
      <c r="E12" s="75"/>
      <c r="F12" s="105"/>
      <c r="G12" s="100"/>
      <c r="H12" s="94"/>
      <c r="I12" s="80"/>
      <c r="J12" s="81"/>
      <c r="K12" s="100"/>
      <c r="L12" s="94"/>
      <c r="M12" s="81"/>
      <c r="N12" s="100"/>
      <c r="O12" s="94"/>
      <c r="P12" s="81"/>
      <c r="Q12" s="44"/>
      <c r="R12" s="44"/>
    </row>
    <row r="13" spans="1:18" ht="15.75" customHeight="1" x14ac:dyDescent="0.35">
      <c r="A13" s="88"/>
      <c r="B13" s="74"/>
      <c r="C13" s="69"/>
      <c r="D13" s="60"/>
      <c r="E13" s="75"/>
      <c r="F13" s="105"/>
      <c r="G13" s="100"/>
      <c r="H13" s="94"/>
      <c r="I13" s="80"/>
      <c r="J13" s="81"/>
      <c r="K13" s="100"/>
      <c r="L13" s="94"/>
      <c r="M13" s="81"/>
      <c r="N13" s="100"/>
      <c r="O13" s="94"/>
      <c r="P13" s="81"/>
      <c r="Q13" s="44"/>
      <c r="R13" s="44"/>
    </row>
    <row r="14" spans="1:18" ht="15.75" customHeight="1" x14ac:dyDescent="0.35">
      <c r="A14" s="88"/>
      <c r="B14" s="74"/>
      <c r="C14" s="69"/>
      <c r="D14" s="60"/>
      <c r="E14" s="75"/>
      <c r="F14" s="105"/>
      <c r="G14" s="100"/>
      <c r="H14" s="94"/>
      <c r="I14" s="80"/>
      <c r="J14" s="81"/>
      <c r="K14" s="100"/>
      <c r="L14" s="94"/>
      <c r="M14" s="81"/>
      <c r="N14" s="100"/>
      <c r="O14" s="94"/>
      <c r="P14" s="81"/>
      <c r="Q14" s="44"/>
      <c r="R14" s="44"/>
    </row>
    <row r="15" spans="1:18" ht="15.75" customHeight="1" x14ac:dyDescent="0.35">
      <c r="A15" s="88"/>
      <c r="B15" s="74"/>
      <c r="C15" s="69"/>
      <c r="D15" s="60"/>
      <c r="E15" s="75"/>
      <c r="F15" s="105"/>
      <c r="G15" s="100"/>
      <c r="H15" s="94"/>
      <c r="I15" s="80"/>
      <c r="J15" s="81"/>
      <c r="K15" s="100"/>
      <c r="L15" s="94"/>
      <c r="M15" s="81"/>
      <c r="N15" s="100"/>
      <c r="O15" s="94"/>
      <c r="P15" s="81"/>
      <c r="Q15" s="44"/>
      <c r="R15" s="44"/>
    </row>
    <row r="16" spans="1:18" ht="15.75" customHeight="1" x14ac:dyDescent="0.35">
      <c r="A16" s="88"/>
      <c r="B16" s="74"/>
      <c r="C16" s="69"/>
      <c r="D16" s="60"/>
      <c r="E16" s="75"/>
      <c r="F16" s="105"/>
      <c r="G16" s="100"/>
      <c r="H16" s="94"/>
      <c r="I16" s="80"/>
      <c r="J16" s="81"/>
      <c r="K16" s="100"/>
      <c r="L16" s="94"/>
      <c r="M16" s="81"/>
      <c r="N16" s="100"/>
      <c r="O16" s="94"/>
      <c r="P16" s="81"/>
      <c r="Q16" s="44"/>
      <c r="R16" s="44"/>
    </row>
    <row r="17" spans="1:18" ht="15.75" customHeight="1" x14ac:dyDescent="0.35">
      <c r="A17" s="88"/>
      <c r="B17" s="74"/>
      <c r="C17" s="69"/>
      <c r="D17" s="60"/>
      <c r="E17" s="75"/>
      <c r="F17" s="105"/>
      <c r="G17" s="100"/>
      <c r="H17" s="94"/>
      <c r="I17" s="80"/>
      <c r="J17" s="81"/>
      <c r="K17" s="100"/>
      <c r="L17" s="94"/>
      <c r="M17" s="81"/>
      <c r="N17" s="100"/>
      <c r="O17" s="94"/>
      <c r="P17" s="81"/>
      <c r="Q17" s="44"/>
      <c r="R17" s="44"/>
    </row>
    <row r="18" spans="1:18" ht="15.75" customHeight="1" x14ac:dyDescent="0.35">
      <c r="A18" s="88"/>
      <c r="B18" s="74"/>
      <c r="C18" s="69"/>
      <c r="D18" s="60"/>
      <c r="E18" s="75"/>
      <c r="F18" s="105"/>
      <c r="G18" s="100"/>
      <c r="H18" s="94"/>
      <c r="I18" s="80"/>
      <c r="J18" s="81"/>
      <c r="K18" s="100"/>
      <c r="L18" s="94"/>
      <c r="M18" s="81"/>
      <c r="N18" s="100"/>
      <c r="O18" s="94"/>
      <c r="P18" s="81"/>
      <c r="Q18" s="44"/>
      <c r="R18" s="44"/>
    </row>
    <row r="19" spans="1:18" ht="15.75" customHeight="1" x14ac:dyDescent="0.35">
      <c r="A19" s="88"/>
      <c r="B19" s="113"/>
      <c r="C19" s="114"/>
      <c r="D19" s="60"/>
      <c r="E19" s="115"/>
      <c r="F19" s="89"/>
      <c r="G19" s="78"/>
      <c r="H19" s="79"/>
      <c r="I19" s="116"/>
      <c r="J19" s="112"/>
      <c r="K19" s="78"/>
      <c r="L19" s="79"/>
      <c r="M19" s="112"/>
      <c r="N19" s="78"/>
      <c r="O19" s="79"/>
      <c r="P19" s="112"/>
      <c r="Q19" s="44"/>
      <c r="R19" s="44"/>
    </row>
    <row r="20" spans="1:18" ht="15.75" customHeight="1" x14ac:dyDescent="0.35">
      <c r="A20" s="88"/>
      <c r="B20" s="74"/>
      <c r="C20" s="69"/>
      <c r="D20" s="60"/>
      <c r="E20" s="75"/>
      <c r="F20" s="105"/>
      <c r="G20" s="100"/>
      <c r="H20" s="94"/>
      <c r="I20" s="80"/>
      <c r="J20" s="81"/>
      <c r="K20" s="100"/>
      <c r="L20" s="94"/>
      <c r="M20" s="81"/>
      <c r="N20" s="100"/>
      <c r="O20" s="94"/>
      <c r="P20" s="81"/>
      <c r="Q20" s="44"/>
      <c r="R20" s="44"/>
    </row>
    <row r="21" spans="1:18" ht="15.75" customHeight="1" x14ac:dyDescent="0.35">
      <c r="A21" s="88"/>
      <c r="B21" s="74"/>
      <c r="C21" s="69"/>
      <c r="D21" s="60"/>
      <c r="E21" s="75"/>
      <c r="F21" s="105"/>
      <c r="G21" s="100"/>
      <c r="H21" s="94"/>
      <c r="I21" s="80"/>
      <c r="J21" s="81"/>
      <c r="K21" s="100"/>
      <c r="L21" s="94"/>
      <c r="M21" s="81"/>
      <c r="N21" s="100"/>
      <c r="O21" s="94"/>
      <c r="P21" s="81"/>
      <c r="Q21" s="44"/>
      <c r="R21" s="44"/>
    </row>
    <row r="22" spans="1:18" ht="15.75" customHeight="1" x14ac:dyDescent="0.35">
      <c r="A22" s="88"/>
      <c r="B22" s="74"/>
      <c r="C22" s="69"/>
      <c r="D22" s="60"/>
      <c r="E22" s="75"/>
      <c r="F22" s="105"/>
      <c r="G22" s="100"/>
      <c r="H22" s="94"/>
      <c r="I22" s="80"/>
      <c r="J22" s="81"/>
      <c r="K22" s="100"/>
      <c r="L22" s="94"/>
      <c r="M22" s="81"/>
      <c r="N22" s="100"/>
      <c r="O22" s="94"/>
      <c r="P22" s="81"/>
      <c r="Q22" s="44"/>
      <c r="R22" s="44"/>
    </row>
    <row r="23" spans="1:18" ht="15.75" customHeight="1" x14ac:dyDescent="0.35">
      <c r="A23" s="88"/>
      <c r="B23" s="74"/>
      <c r="C23" s="69"/>
      <c r="D23" s="60"/>
      <c r="E23" s="75"/>
      <c r="F23" s="105"/>
      <c r="G23" s="100"/>
      <c r="H23" s="94"/>
      <c r="I23" s="80"/>
      <c r="J23" s="81"/>
      <c r="K23" s="100"/>
      <c r="L23" s="94"/>
      <c r="M23" s="81"/>
      <c r="N23" s="100"/>
      <c r="O23" s="94"/>
      <c r="P23" s="81"/>
      <c r="Q23" s="44"/>
      <c r="R23" s="44"/>
    </row>
    <row r="24" spans="1:18" ht="15.75" customHeight="1" x14ac:dyDescent="0.35">
      <c r="A24" s="88"/>
      <c r="B24" s="74"/>
      <c r="C24" s="69"/>
      <c r="D24" s="60"/>
      <c r="E24" s="75"/>
      <c r="F24" s="105"/>
      <c r="G24" s="100"/>
      <c r="H24" s="94"/>
      <c r="I24" s="80"/>
      <c r="J24" s="81"/>
      <c r="K24" s="100"/>
      <c r="L24" s="94"/>
      <c r="M24" s="81"/>
      <c r="N24" s="100"/>
      <c r="O24" s="94"/>
      <c r="P24" s="81"/>
      <c r="Q24" s="44"/>
      <c r="R24" s="44"/>
    </row>
    <row r="25" spans="1:18" ht="15.75" customHeight="1" x14ac:dyDescent="0.35">
      <c r="A25" s="88"/>
      <c r="B25" s="113"/>
      <c r="C25" s="114"/>
      <c r="D25" s="60"/>
      <c r="E25" s="115"/>
      <c r="F25" s="89"/>
      <c r="G25" s="78"/>
      <c r="H25" s="79"/>
      <c r="I25" s="116"/>
      <c r="J25" s="112"/>
      <c r="K25" s="78"/>
      <c r="L25" s="79"/>
      <c r="M25" s="112"/>
      <c r="N25" s="78"/>
      <c r="O25" s="79"/>
      <c r="P25" s="112"/>
      <c r="Q25" s="44"/>
      <c r="R25" s="44"/>
    </row>
    <row r="26" spans="1:18" ht="15.75" customHeight="1" x14ac:dyDescent="0.35">
      <c r="A26" s="88"/>
      <c r="B26" s="74"/>
      <c r="C26" s="69"/>
      <c r="D26" s="60"/>
      <c r="E26" s="75"/>
      <c r="F26" s="105"/>
      <c r="G26" s="100"/>
      <c r="H26" s="94"/>
      <c r="I26" s="80"/>
      <c r="J26" s="81"/>
      <c r="K26" s="100"/>
      <c r="L26" s="94"/>
      <c r="M26" s="81"/>
      <c r="N26" s="100"/>
      <c r="O26" s="94"/>
      <c r="P26" s="81"/>
      <c r="Q26" s="44"/>
      <c r="R26" s="44"/>
    </row>
    <row r="27" spans="1:18" ht="15.75" customHeight="1" x14ac:dyDescent="0.35">
      <c r="A27" s="88"/>
      <c r="B27" s="74"/>
      <c r="C27" s="69"/>
      <c r="D27" s="60"/>
      <c r="E27" s="75"/>
      <c r="F27" s="105"/>
      <c r="G27" s="100"/>
      <c r="H27" s="94"/>
      <c r="I27" s="80"/>
      <c r="J27" s="81"/>
      <c r="K27" s="100"/>
      <c r="L27" s="94"/>
      <c r="M27" s="81"/>
      <c r="N27" s="100"/>
      <c r="O27" s="94"/>
      <c r="P27" s="81"/>
      <c r="Q27" s="44"/>
      <c r="R27" s="44"/>
    </row>
    <row r="28" spans="1:18" ht="15.75" customHeight="1" x14ac:dyDescent="0.35">
      <c r="A28" s="88"/>
      <c r="B28" s="74"/>
      <c r="C28" s="69"/>
      <c r="D28" s="60"/>
      <c r="E28" s="75"/>
      <c r="F28" s="105"/>
      <c r="G28" s="100"/>
      <c r="H28" s="94"/>
      <c r="I28" s="80"/>
      <c r="J28" s="81"/>
      <c r="K28" s="100"/>
      <c r="L28" s="94"/>
      <c r="M28" s="81"/>
      <c r="N28" s="100"/>
      <c r="O28" s="94"/>
      <c r="P28" s="81"/>
      <c r="Q28" s="44"/>
      <c r="R28" s="44"/>
    </row>
    <row r="29" spans="1:18" ht="15.75" customHeight="1" x14ac:dyDescent="0.35">
      <c r="A29" s="88"/>
      <c r="B29" s="74"/>
      <c r="C29" s="69"/>
      <c r="D29" s="60"/>
      <c r="E29" s="75"/>
      <c r="F29" s="105"/>
      <c r="G29" s="100"/>
      <c r="H29" s="94"/>
      <c r="I29" s="80"/>
      <c r="J29" s="81"/>
      <c r="K29" s="100"/>
      <c r="L29" s="94"/>
      <c r="M29" s="81"/>
      <c r="N29" s="100"/>
      <c r="O29" s="94"/>
      <c r="P29" s="81"/>
      <c r="Q29" s="44"/>
      <c r="R29" s="44"/>
    </row>
    <row r="30" spans="1:18" ht="15.75" customHeight="1" x14ac:dyDescent="0.35">
      <c r="A30" s="88"/>
      <c r="B30" s="74"/>
      <c r="C30" s="69"/>
      <c r="D30" s="60"/>
      <c r="E30" s="75"/>
      <c r="F30" s="105"/>
      <c r="G30" s="100"/>
      <c r="H30" s="94"/>
      <c r="I30" s="80"/>
      <c r="J30" s="81"/>
      <c r="K30" s="100"/>
      <c r="L30" s="94"/>
      <c r="M30" s="81"/>
      <c r="N30" s="100"/>
      <c r="O30" s="94"/>
      <c r="P30" s="81"/>
      <c r="Q30" s="44"/>
      <c r="R30" s="44"/>
    </row>
    <row r="31" spans="1:18" ht="15.75" customHeight="1" x14ac:dyDescent="0.35">
      <c r="A31" s="88"/>
      <c r="B31" s="74"/>
      <c r="C31" s="69"/>
      <c r="D31" s="60"/>
      <c r="E31" s="75"/>
      <c r="F31" s="105"/>
      <c r="G31" s="100"/>
      <c r="H31" s="94"/>
      <c r="I31" s="80"/>
      <c r="J31" s="81"/>
      <c r="K31" s="100"/>
      <c r="L31" s="94"/>
      <c r="M31" s="81"/>
      <c r="N31" s="100"/>
      <c r="O31" s="94"/>
      <c r="P31" s="81"/>
      <c r="Q31" s="44"/>
      <c r="R31" s="44"/>
    </row>
    <row r="32" spans="1:18" ht="15.75" customHeight="1" x14ac:dyDescent="0.35">
      <c r="A32" s="88"/>
      <c r="B32" s="74"/>
      <c r="C32" s="69"/>
      <c r="D32" s="60"/>
      <c r="E32" s="75"/>
      <c r="F32" s="105"/>
      <c r="G32" s="100"/>
      <c r="H32" s="94"/>
      <c r="I32" s="80"/>
      <c r="J32" s="81"/>
      <c r="K32" s="100"/>
      <c r="L32" s="94"/>
      <c r="M32" s="81"/>
      <c r="N32" s="100"/>
      <c r="O32" s="94"/>
      <c r="P32" s="81"/>
      <c r="Q32" s="44"/>
      <c r="R32" s="44"/>
    </row>
    <row r="33" spans="1:18" ht="15.75" customHeight="1" x14ac:dyDescent="0.35">
      <c r="A33" s="88"/>
      <c r="B33" s="74"/>
      <c r="C33" s="69"/>
      <c r="D33" s="60"/>
      <c r="E33" s="75"/>
      <c r="F33" s="105"/>
      <c r="G33" s="100"/>
      <c r="H33" s="94"/>
      <c r="I33" s="80"/>
      <c r="J33" s="81"/>
      <c r="K33" s="100"/>
      <c r="L33" s="94"/>
      <c r="M33" s="81"/>
      <c r="N33" s="100"/>
      <c r="O33" s="94"/>
      <c r="P33" s="81"/>
      <c r="Q33" s="44"/>
      <c r="R33" s="44"/>
    </row>
    <row r="34" spans="1:18" ht="15.75" customHeight="1" x14ac:dyDescent="0.35">
      <c r="A34" s="88"/>
      <c r="B34" s="74"/>
      <c r="C34" s="69"/>
      <c r="D34" s="60"/>
      <c r="E34" s="75"/>
      <c r="F34" s="105"/>
      <c r="G34" s="100"/>
      <c r="H34" s="94"/>
      <c r="I34" s="80"/>
      <c r="J34" s="81"/>
      <c r="K34" s="100"/>
      <c r="L34" s="94"/>
      <c r="M34" s="81"/>
      <c r="N34" s="100"/>
      <c r="O34" s="94"/>
      <c r="P34" s="81"/>
      <c r="Q34" s="44"/>
      <c r="R34" s="44"/>
    </row>
    <row r="35" spans="1:18" ht="15.75" customHeight="1" x14ac:dyDescent="0.35">
      <c r="A35" s="88"/>
      <c r="B35" s="74"/>
      <c r="C35" s="69"/>
      <c r="D35" s="60"/>
      <c r="E35" s="75"/>
      <c r="F35" s="105"/>
      <c r="G35" s="100"/>
      <c r="H35" s="94"/>
      <c r="I35" s="80"/>
      <c r="J35" s="81"/>
      <c r="K35" s="100"/>
      <c r="L35" s="94"/>
      <c r="M35" s="81"/>
      <c r="N35" s="100"/>
      <c r="O35" s="94"/>
      <c r="P35" s="81"/>
      <c r="Q35" s="44"/>
      <c r="R35" s="44"/>
    </row>
    <row r="36" spans="1:18" ht="15.75" customHeight="1" x14ac:dyDescent="0.35">
      <c r="A36" s="88"/>
      <c r="B36" s="74"/>
      <c r="C36" s="69"/>
      <c r="D36" s="60"/>
      <c r="E36" s="75"/>
      <c r="F36" s="105"/>
      <c r="G36" s="100"/>
      <c r="H36" s="94"/>
      <c r="I36" s="80"/>
      <c r="J36" s="81"/>
      <c r="K36" s="100"/>
      <c r="L36" s="94"/>
      <c r="M36" s="81"/>
      <c r="N36" s="100"/>
      <c r="O36" s="94"/>
      <c r="P36" s="81"/>
      <c r="Q36" s="44"/>
      <c r="R36" s="44"/>
    </row>
    <row r="37" spans="1:18" ht="15.75" customHeight="1" x14ac:dyDescent="0.35">
      <c r="A37" s="88"/>
      <c r="B37" s="74"/>
      <c r="C37" s="69"/>
      <c r="D37" s="60"/>
      <c r="E37" s="75"/>
      <c r="F37" s="105"/>
      <c r="G37" s="100"/>
      <c r="H37" s="94"/>
      <c r="I37" s="80"/>
      <c r="J37" s="81"/>
      <c r="K37" s="100"/>
      <c r="L37" s="94"/>
      <c r="M37" s="81"/>
      <c r="N37" s="100"/>
      <c r="O37" s="94"/>
      <c r="P37" s="81"/>
      <c r="Q37" s="44"/>
      <c r="R37" s="44"/>
    </row>
    <row r="38" spans="1:18" ht="15.75" customHeight="1" x14ac:dyDescent="0.35">
      <c r="A38" s="88"/>
      <c r="B38" s="74"/>
      <c r="C38" s="69"/>
      <c r="D38" s="60"/>
      <c r="E38" s="75"/>
      <c r="F38" s="105"/>
      <c r="G38" s="100"/>
      <c r="H38" s="94"/>
      <c r="I38" s="80"/>
      <c r="J38" s="81"/>
      <c r="K38" s="100"/>
      <c r="L38" s="94"/>
      <c r="M38" s="81"/>
      <c r="N38" s="100"/>
      <c r="O38" s="94"/>
      <c r="P38" s="81"/>
      <c r="Q38" s="44"/>
      <c r="R38" s="44"/>
    </row>
    <row r="39" spans="1:18" ht="15.75" customHeight="1" x14ac:dyDescent="0.35">
      <c r="A39" s="88"/>
      <c r="B39" s="74"/>
      <c r="C39" s="69"/>
      <c r="D39" s="60"/>
      <c r="E39" s="75"/>
      <c r="F39" s="105"/>
      <c r="G39" s="100"/>
      <c r="H39" s="94"/>
      <c r="I39" s="80"/>
      <c r="J39" s="81"/>
      <c r="K39" s="100"/>
      <c r="L39" s="94"/>
      <c r="M39" s="81"/>
      <c r="N39" s="100"/>
      <c r="O39" s="94"/>
      <c r="P39" s="81"/>
      <c r="Q39" s="44"/>
      <c r="R39" s="44"/>
    </row>
    <row r="40" spans="1:18" ht="15.75" customHeight="1" x14ac:dyDescent="0.35">
      <c r="A40" s="88"/>
      <c r="B40" s="74"/>
      <c r="C40" s="69"/>
      <c r="D40" s="60"/>
      <c r="E40" s="75"/>
      <c r="F40" s="105"/>
      <c r="G40" s="100"/>
      <c r="H40" s="94"/>
      <c r="I40" s="80"/>
      <c r="J40" s="81"/>
      <c r="K40" s="100"/>
      <c r="L40" s="94"/>
      <c r="M40" s="81"/>
      <c r="N40" s="100"/>
      <c r="O40" s="94"/>
      <c r="P40" s="81"/>
      <c r="Q40" s="44"/>
      <c r="R40" s="44"/>
    </row>
    <row r="41" spans="1:18" ht="15.75" customHeight="1" x14ac:dyDescent="0.35">
      <c r="A41" s="88"/>
      <c r="B41" s="74"/>
      <c r="C41" s="69"/>
      <c r="D41" s="60"/>
      <c r="E41" s="75"/>
      <c r="F41" s="105"/>
      <c r="G41" s="100"/>
      <c r="H41" s="94"/>
      <c r="I41" s="80"/>
      <c r="J41" s="81"/>
      <c r="K41" s="100"/>
      <c r="L41" s="94"/>
      <c r="M41" s="81"/>
      <c r="N41" s="100"/>
      <c r="O41" s="94"/>
      <c r="P41" s="81"/>
      <c r="Q41" s="44"/>
      <c r="R41" s="44"/>
    </row>
    <row r="42" spans="1:18" ht="15.75" customHeight="1" x14ac:dyDescent="0.35">
      <c r="A42" s="88"/>
      <c r="B42" s="74"/>
      <c r="C42" s="69"/>
      <c r="D42" s="60"/>
      <c r="E42" s="75"/>
      <c r="F42" s="105"/>
      <c r="G42" s="100"/>
      <c r="H42" s="94"/>
      <c r="I42" s="80"/>
      <c r="J42" s="81"/>
      <c r="K42" s="100"/>
      <c r="L42" s="94"/>
      <c r="M42" s="81"/>
      <c r="N42" s="100"/>
      <c r="O42" s="94"/>
      <c r="P42" s="81"/>
      <c r="Q42" s="44"/>
      <c r="R42" s="44"/>
    </row>
    <row r="43" spans="1:18" ht="15.75" customHeight="1" x14ac:dyDescent="0.35">
      <c r="A43" s="88"/>
      <c r="B43" s="74"/>
      <c r="C43" s="69"/>
      <c r="D43" s="60"/>
      <c r="E43" s="75"/>
      <c r="F43" s="105"/>
      <c r="G43" s="100"/>
      <c r="H43" s="94"/>
      <c r="I43" s="80"/>
      <c r="J43" s="81"/>
      <c r="K43" s="100"/>
      <c r="L43" s="94"/>
      <c r="M43" s="81"/>
      <c r="N43" s="100"/>
      <c r="O43" s="94"/>
      <c r="P43" s="81"/>
      <c r="Q43" s="44"/>
      <c r="R43" s="44"/>
    </row>
    <row r="44" spans="1:18" ht="15.75" customHeight="1" x14ac:dyDescent="0.35">
      <c r="A44" s="88"/>
      <c r="B44" s="74"/>
      <c r="C44" s="69"/>
      <c r="D44" s="60"/>
      <c r="E44" s="75"/>
      <c r="F44" s="105"/>
      <c r="G44" s="100"/>
      <c r="H44" s="94"/>
      <c r="I44" s="80"/>
      <c r="J44" s="81"/>
      <c r="K44" s="100"/>
      <c r="L44" s="94"/>
      <c r="M44" s="81"/>
      <c r="N44" s="100"/>
      <c r="O44" s="94"/>
      <c r="P44" s="81"/>
      <c r="Q44" s="44"/>
      <c r="R44" s="44"/>
    </row>
    <row r="45" spans="1:18" ht="15.75" customHeight="1" x14ac:dyDescent="0.35">
      <c r="A45" s="88"/>
      <c r="B45" s="74"/>
      <c r="C45" s="69"/>
      <c r="D45" s="60"/>
      <c r="E45" s="75"/>
      <c r="F45" s="105"/>
      <c r="G45" s="100"/>
      <c r="H45" s="94"/>
      <c r="I45" s="80"/>
      <c r="J45" s="81"/>
      <c r="K45" s="100"/>
      <c r="L45" s="94"/>
      <c r="M45" s="81"/>
      <c r="N45" s="100"/>
      <c r="O45" s="94"/>
      <c r="P45" s="81"/>
      <c r="Q45" s="44"/>
      <c r="R45" s="44"/>
    </row>
    <row r="46" spans="1:18" ht="15.75" customHeight="1" x14ac:dyDescent="0.35">
      <c r="A46" s="88"/>
      <c r="B46" s="74"/>
      <c r="C46" s="69"/>
      <c r="D46" s="60"/>
      <c r="E46" s="75"/>
      <c r="F46" s="105"/>
      <c r="G46" s="100"/>
      <c r="H46" s="94"/>
      <c r="I46" s="80"/>
      <c r="J46" s="81"/>
      <c r="K46" s="100"/>
      <c r="L46" s="94"/>
      <c r="M46" s="81"/>
      <c r="N46" s="100"/>
      <c r="O46" s="94"/>
      <c r="P46" s="81"/>
      <c r="Q46" s="44"/>
      <c r="R46" s="44"/>
    </row>
    <row r="47" spans="1:18" ht="15.75" customHeight="1" x14ac:dyDescent="0.35">
      <c r="A47" s="88"/>
      <c r="B47" s="74"/>
      <c r="C47" s="69"/>
      <c r="D47" s="60"/>
      <c r="E47" s="75"/>
      <c r="F47" s="105"/>
      <c r="G47" s="100"/>
      <c r="H47" s="94"/>
      <c r="I47" s="80"/>
      <c r="J47" s="81"/>
      <c r="K47" s="100"/>
      <c r="L47" s="94"/>
      <c r="M47" s="81"/>
      <c r="N47" s="100"/>
      <c r="O47" s="94"/>
      <c r="P47" s="81"/>
      <c r="Q47" s="44"/>
      <c r="R47" s="44"/>
    </row>
    <row r="48" spans="1:18" ht="15.75" customHeight="1" x14ac:dyDescent="0.35">
      <c r="A48" s="88"/>
      <c r="B48" s="74"/>
      <c r="C48" s="69"/>
      <c r="D48" s="60"/>
      <c r="E48" s="75"/>
      <c r="F48" s="105"/>
      <c r="G48" s="100"/>
      <c r="H48" s="94"/>
      <c r="I48" s="80"/>
      <c r="J48" s="81"/>
      <c r="K48" s="100"/>
      <c r="L48" s="94"/>
      <c r="M48" s="81"/>
      <c r="N48" s="100"/>
      <c r="O48" s="94"/>
      <c r="P48" s="81"/>
      <c r="Q48" s="44"/>
      <c r="R48" s="44"/>
    </row>
    <row r="49" spans="1:18" ht="15.75" customHeight="1" x14ac:dyDescent="0.35">
      <c r="A49" s="88"/>
      <c r="B49" s="74"/>
      <c r="C49" s="69"/>
      <c r="D49" s="60"/>
      <c r="E49" s="75"/>
      <c r="F49" s="105"/>
      <c r="G49" s="100"/>
      <c r="H49" s="94"/>
      <c r="I49" s="80"/>
      <c r="J49" s="81"/>
      <c r="K49" s="100"/>
      <c r="L49" s="94"/>
      <c r="M49" s="81"/>
      <c r="N49" s="100"/>
      <c r="O49" s="94"/>
      <c r="P49" s="81"/>
      <c r="Q49" s="44"/>
      <c r="R49" s="44"/>
    </row>
    <row r="50" spans="1:18" ht="15.75" customHeight="1" x14ac:dyDescent="0.35">
      <c r="A50" s="88"/>
      <c r="B50" s="74"/>
      <c r="C50" s="69"/>
      <c r="D50" s="60"/>
      <c r="E50" s="75"/>
      <c r="F50" s="105"/>
      <c r="G50" s="100"/>
      <c r="H50" s="94"/>
      <c r="I50" s="80"/>
      <c r="J50" s="81"/>
      <c r="K50" s="100"/>
      <c r="L50" s="94"/>
      <c r="M50" s="81"/>
      <c r="N50" s="100"/>
      <c r="O50" s="94"/>
      <c r="P50" s="81"/>
      <c r="Q50" s="44"/>
      <c r="R50" s="44"/>
    </row>
    <row r="51" spans="1:18" ht="15.75" customHeight="1" x14ac:dyDescent="0.35">
      <c r="A51" s="88"/>
      <c r="B51" s="74"/>
      <c r="C51" s="69"/>
      <c r="D51" s="60"/>
      <c r="E51" s="75"/>
      <c r="F51" s="105"/>
      <c r="G51" s="100"/>
      <c r="H51" s="94"/>
      <c r="I51" s="80"/>
      <c r="J51" s="81"/>
      <c r="K51" s="100"/>
      <c r="L51" s="94"/>
      <c r="M51" s="81"/>
      <c r="N51" s="100"/>
      <c r="O51" s="94"/>
      <c r="P51" s="81"/>
      <c r="Q51" s="44"/>
      <c r="R51" s="44"/>
    </row>
    <row r="52" spans="1:18" ht="15.75" customHeight="1" x14ac:dyDescent="0.35">
      <c r="A52" s="88"/>
      <c r="B52" s="74"/>
      <c r="C52" s="69"/>
      <c r="D52" s="60"/>
      <c r="E52" s="75"/>
      <c r="F52" s="105"/>
      <c r="G52" s="100"/>
      <c r="H52" s="94"/>
      <c r="I52" s="80"/>
      <c r="J52" s="81"/>
      <c r="K52" s="100"/>
      <c r="L52" s="94"/>
      <c r="M52" s="81"/>
      <c r="N52" s="100"/>
      <c r="O52" s="94"/>
      <c r="P52" s="81"/>
      <c r="Q52" s="44"/>
      <c r="R52" s="44"/>
    </row>
    <row r="53" spans="1:18" ht="15.75" customHeight="1" x14ac:dyDescent="0.35">
      <c r="A53" s="88"/>
      <c r="B53" s="74"/>
      <c r="C53" s="69"/>
      <c r="D53" s="60"/>
      <c r="E53" s="75"/>
      <c r="F53" s="105"/>
      <c r="G53" s="100"/>
      <c r="H53" s="94"/>
      <c r="I53" s="80"/>
      <c r="J53" s="81"/>
      <c r="K53" s="100"/>
      <c r="L53" s="94"/>
      <c r="M53" s="81"/>
      <c r="N53" s="100"/>
      <c r="O53" s="94"/>
      <c r="P53" s="81"/>
      <c r="Q53" s="44"/>
      <c r="R53" s="44"/>
    </row>
    <row r="54" spans="1:18" ht="15.75" customHeight="1" x14ac:dyDescent="0.35">
      <c r="A54" s="88"/>
      <c r="B54" s="74"/>
      <c r="C54" s="69"/>
      <c r="D54" s="60"/>
      <c r="E54" s="75"/>
      <c r="F54" s="105"/>
      <c r="G54" s="100"/>
      <c r="H54" s="94"/>
      <c r="I54" s="80"/>
      <c r="J54" s="81"/>
      <c r="K54" s="100"/>
      <c r="L54" s="94"/>
      <c r="M54" s="81"/>
      <c r="N54" s="100"/>
      <c r="O54" s="94"/>
      <c r="P54" s="81"/>
      <c r="Q54" s="44"/>
      <c r="R54" s="44"/>
    </row>
    <row r="55" spans="1:18" ht="15.75" customHeight="1" x14ac:dyDescent="0.35">
      <c r="A55" s="88"/>
      <c r="B55" s="74"/>
      <c r="C55" s="69"/>
      <c r="D55" s="60"/>
      <c r="E55" s="75"/>
      <c r="F55" s="105"/>
      <c r="G55" s="100"/>
      <c r="H55" s="94"/>
      <c r="I55" s="80"/>
      <c r="J55" s="81"/>
      <c r="K55" s="100"/>
      <c r="L55" s="94"/>
      <c r="M55" s="81"/>
      <c r="N55" s="100"/>
      <c r="O55" s="94"/>
      <c r="P55" s="81"/>
      <c r="Q55" s="44"/>
      <c r="R55" s="44"/>
    </row>
    <row r="56" spans="1:18" ht="15.75" customHeight="1" x14ac:dyDescent="0.35">
      <c r="A56" s="88"/>
      <c r="B56" s="74"/>
      <c r="C56" s="69"/>
      <c r="D56" s="60"/>
      <c r="E56" s="75"/>
      <c r="F56" s="105"/>
      <c r="G56" s="100"/>
      <c r="H56" s="94"/>
      <c r="I56" s="80"/>
      <c r="J56" s="81"/>
      <c r="K56" s="100"/>
      <c r="L56" s="94"/>
      <c r="M56" s="81"/>
      <c r="N56" s="100"/>
      <c r="O56" s="94"/>
      <c r="P56" s="81"/>
      <c r="Q56" s="44"/>
      <c r="R56" s="44"/>
    </row>
    <row r="57" spans="1:18" ht="15.75" customHeight="1" x14ac:dyDescent="0.35">
      <c r="A57" s="88"/>
      <c r="B57" s="74"/>
      <c r="C57" s="69"/>
      <c r="D57" s="60"/>
      <c r="E57" s="75"/>
      <c r="F57" s="105"/>
      <c r="G57" s="100"/>
      <c r="H57" s="94"/>
      <c r="I57" s="80"/>
      <c r="J57" s="81"/>
      <c r="K57" s="100"/>
      <c r="L57" s="94"/>
      <c r="M57" s="81"/>
      <c r="N57" s="100"/>
      <c r="O57" s="94"/>
      <c r="P57" s="81"/>
      <c r="Q57" s="44"/>
      <c r="R57" s="44"/>
    </row>
    <row r="58" spans="1:18" ht="15.75" customHeight="1" x14ac:dyDescent="0.35">
      <c r="A58" s="88"/>
      <c r="B58" s="74"/>
      <c r="C58" s="69"/>
      <c r="D58" s="60"/>
      <c r="E58" s="75"/>
      <c r="F58" s="105"/>
      <c r="G58" s="100"/>
      <c r="H58" s="94"/>
      <c r="I58" s="80"/>
      <c r="J58" s="81"/>
      <c r="K58" s="100"/>
      <c r="L58" s="94"/>
      <c r="M58" s="81"/>
      <c r="N58" s="100"/>
      <c r="O58" s="94"/>
      <c r="P58" s="81"/>
      <c r="Q58" s="44"/>
      <c r="R58" s="44"/>
    </row>
    <row r="59" spans="1:18" ht="15.75" customHeight="1" x14ac:dyDescent="0.35">
      <c r="A59" s="88"/>
      <c r="B59" s="74"/>
      <c r="C59" s="69"/>
      <c r="D59" s="60"/>
      <c r="E59" s="75"/>
      <c r="F59" s="105"/>
      <c r="G59" s="100"/>
      <c r="H59" s="94"/>
      <c r="I59" s="80"/>
      <c r="J59" s="81"/>
      <c r="K59" s="100"/>
      <c r="L59" s="94"/>
      <c r="M59" s="81"/>
      <c r="N59" s="100"/>
      <c r="O59" s="94"/>
      <c r="P59" s="81"/>
      <c r="Q59" s="44"/>
      <c r="R59" s="44"/>
    </row>
    <row r="60" spans="1:18" ht="15.75" customHeight="1" x14ac:dyDescent="0.35">
      <c r="A60" s="88"/>
      <c r="B60" s="74"/>
      <c r="C60" s="69"/>
      <c r="D60" s="60"/>
      <c r="E60" s="75"/>
      <c r="F60" s="105"/>
      <c r="G60" s="100"/>
      <c r="H60" s="94"/>
      <c r="I60" s="80"/>
      <c r="J60" s="81"/>
      <c r="K60" s="100"/>
      <c r="L60" s="94"/>
      <c r="M60" s="81"/>
      <c r="N60" s="100"/>
      <c r="O60" s="94"/>
      <c r="P60" s="81"/>
      <c r="Q60" s="44"/>
      <c r="R60" s="44"/>
    </row>
    <row r="61" spans="1:18" ht="15.75" customHeight="1" x14ac:dyDescent="0.35">
      <c r="A61" s="88"/>
      <c r="B61" s="74"/>
      <c r="C61" s="69"/>
      <c r="D61" s="60"/>
      <c r="E61" s="75"/>
      <c r="F61" s="105"/>
      <c r="G61" s="100"/>
      <c r="H61" s="94"/>
      <c r="I61" s="80"/>
      <c r="J61" s="81"/>
      <c r="K61" s="100"/>
      <c r="L61" s="94"/>
      <c r="M61" s="81"/>
      <c r="N61" s="100"/>
      <c r="O61" s="94"/>
      <c r="P61" s="81"/>
      <c r="Q61" s="44"/>
      <c r="R61" s="44"/>
    </row>
    <row r="62" spans="1:18" ht="15.75" customHeight="1" x14ac:dyDescent="0.35">
      <c r="A62" s="88"/>
      <c r="B62" s="74"/>
      <c r="C62" s="69"/>
      <c r="D62" s="60"/>
      <c r="E62" s="75"/>
      <c r="F62" s="105"/>
      <c r="G62" s="100"/>
      <c r="H62" s="94"/>
      <c r="I62" s="80"/>
      <c r="J62" s="81"/>
      <c r="K62" s="100"/>
      <c r="L62" s="94"/>
      <c r="M62" s="81"/>
      <c r="N62" s="100"/>
      <c r="O62" s="94"/>
      <c r="P62" s="81"/>
      <c r="Q62" s="44"/>
      <c r="R62" s="44"/>
    </row>
    <row r="63" spans="1:18" ht="15.75" customHeight="1" x14ac:dyDescent="0.35">
      <c r="A63" s="88"/>
      <c r="B63" s="74"/>
      <c r="C63" s="69"/>
      <c r="D63" s="60"/>
      <c r="E63" s="75"/>
      <c r="F63" s="105"/>
      <c r="G63" s="100"/>
      <c r="H63" s="94"/>
      <c r="I63" s="80"/>
      <c r="J63" s="81"/>
      <c r="K63" s="100"/>
      <c r="L63" s="94"/>
      <c r="M63" s="81"/>
      <c r="N63" s="100"/>
      <c r="O63" s="94"/>
      <c r="P63" s="81"/>
      <c r="Q63" s="44"/>
      <c r="R63" s="44"/>
    </row>
    <row r="64" spans="1:18" ht="15.75" customHeight="1" x14ac:dyDescent="0.35">
      <c r="A64" s="88"/>
      <c r="B64" s="74"/>
      <c r="C64" s="69"/>
      <c r="D64" s="60"/>
      <c r="E64" s="75"/>
      <c r="F64" s="105"/>
      <c r="G64" s="100"/>
      <c r="H64" s="94"/>
      <c r="I64" s="80"/>
      <c r="J64" s="81"/>
      <c r="K64" s="100"/>
      <c r="L64" s="94"/>
      <c r="M64" s="81"/>
      <c r="N64" s="100"/>
      <c r="O64" s="94"/>
      <c r="P64" s="81"/>
      <c r="Q64" s="44"/>
      <c r="R64" s="44"/>
    </row>
    <row r="65" spans="1:18" ht="15.75" customHeight="1" x14ac:dyDescent="0.35">
      <c r="A65" s="88"/>
      <c r="B65" s="74"/>
      <c r="C65" s="69"/>
      <c r="D65" s="60"/>
      <c r="E65" s="75"/>
      <c r="F65" s="105"/>
      <c r="G65" s="100"/>
      <c r="H65" s="94"/>
      <c r="I65" s="80"/>
      <c r="J65" s="81"/>
      <c r="K65" s="100"/>
      <c r="L65" s="94"/>
      <c r="M65" s="81"/>
      <c r="N65" s="100"/>
      <c r="O65" s="94"/>
      <c r="P65" s="81"/>
      <c r="Q65" s="44"/>
      <c r="R65" s="44"/>
    </row>
    <row r="66" spans="1:18" ht="15.75" customHeight="1" x14ac:dyDescent="0.35">
      <c r="A66" s="88"/>
      <c r="B66" s="74"/>
      <c r="C66" s="69"/>
      <c r="D66" s="60"/>
      <c r="E66" s="75"/>
      <c r="F66" s="105"/>
      <c r="G66" s="100"/>
      <c r="H66" s="94"/>
      <c r="I66" s="80"/>
      <c r="J66" s="81"/>
      <c r="K66" s="100"/>
      <c r="L66" s="94"/>
      <c r="M66" s="81"/>
      <c r="N66" s="100"/>
      <c r="O66" s="94"/>
      <c r="P66" s="81"/>
      <c r="Q66" s="44"/>
      <c r="R66" s="44"/>
    </row>
    <row r="67" spans="1:18" ht="15.75" customHeight="1" x14ac:dyDescent="0.35">
      <c r="A67" s="88"/>
      <c r="B67" s="74"/>
      <c r="C67" s="69"/>
      <c r="D67" s="60"/>
      <c r="E67" s="75"/>
      <c r="F67" s="105"/>
      <c r="G67" s="100"/>
      <c r="H67" s="94"/>
      <c r="I67" s="80"/>
      <c r="J67" s="81"/>
      <c r="K67" s="100"/>
      <c r="L67" s="94"/>
      <c r="M67" s="81"/>
      <c r="N67" s="100"/>
      <c r="O67" s="94"/>
      <c r="P67" s="81"/>
      <c r="Q67" s="44"/>
      <c r="R67" s="44"/>
    </row>
    <row r="68" spans="1:18" ht="15.75" customHeight="1" x14ac:dyDescent="0.35">
      <c r="A68" s="88"/>
      <c r="B68" s="74"/>
      <c r="C68" s="69"/>
      <c r="D68" s="60"/>
      <c r="E68" s="75"/>
      <c r="F68" s="105"/>
      <c r="G68" s="100"/>
      <c r="H68" s="94"/>
      <c r="I68" s="80"/>
      <c r="J68" s="81"/>
      <c r="K68" s="100"/>
      <c r="L68" s="94"/>
      <c r="M68" s="81"/>
      <c r="N68" s="100"/>
      <c r="O68" s="94"/>
      <c r="P68" s="81"/>
      <c r="Q68" s="44"/>
      <c r="R68" s="44"/>
    </row>
    <row r="69" spans="1:18" ht="15.75" customHeight="1" x14ac:dyDescent="0.35">
      <c r="A69" s="88"/>
      <c r="B69" s="74"/>
      <c r="C69" s="69"/>
      <c r="D69" s="60"/>
      <c r="E69" s="75"/>
      <c r="F69" s="105"/>
      <c r="G69" s="100"/>
      <c r="H69" s="94"/>
      <c r="I69" s="80"/>
      <c r="J69" s="81"/>
      <c r="K69" s="100"/>
      <c r="L69" s="94"/>
      <c r="M69" s="81"/>
      <c r="N69" s="100"/>
      <c r="O69" s="94"/>
      <c r="P69" s="81"/>
      <c r="Q69" s="44"/>
      <c r="R69" s="44"/>
    </row>
    <row r="70" spans="1:18" ht="15.75" customHeight="1" x14ac:dyDescent="0.35">
      <c r="A70" s="88"/>
      <c r="B70" s="74"/>
      <c r="C70" s="69"/>
      <c r="D70" s="60"/>
      <c r="E70" s="75"/>
      <c r="F70" s="105"/>
      <c r="G70" s="100"/>
      <c r="H70" s="94"/>
      <c r="I70" s="80"/>
      <c r="J70" s="81"/>
      <c r="K70" s="100"/>
      <c r="L70" s="94"/>
      <c r="M70" s="81"/>
      <c r="N70" s="100"/>
      <c r="O70" s="94"/>
      <c r="P70" s="81"/>
      <c r="Q70" s="44"/>
      <c r="R70" s="44"/>
    </row>
    <row r="71" spans="1:18" ht="15.75" customHeight="1" x14ac:dyDescent="0.35">
      <c r="A71" s="88"/>
      <c r="B71" s="74"/>
      <c r="C71" s="69"/>
      <c r="D71" s="60"/>
      <c r="E71" s="75"/>
      <c r="F71" s="105"/>
      <c r="G71" s="100"/>
      <c r="H71" s="94"/>
      <c r="I71" s="80"/>
      <c r="J71" s="81"/>
      <c r="K71" s="100"/>
      <c r="L71" s="94"/>
      <c r="M71" s="81"/>
      <c r="N71" s="100"/>
      <c r="O71" s="94"/>
      <c r="P71" s="81"/>
      <c r="Q71" s="44"/>
      <c r="R71" s="44"/>
    </row>
    <row r="72" spans="1:18" ht="15.75" customHeight="1" x14ac:dyDescent="0.35">
      <c r="A72" s="88"/>
      <c r="B72" s="74"/>
      <c r="C72" s="69"/>
      <c r="D72" s="60"/>
      <c r="E72" s="75"/>
      <c r="F72" s="105"/>
      <c r="G72" s="100"/>
      <c r="H72" s="94"/>
      <c r="I72" s="80"/>
      <c r="J72" s="81"/>
      <c r="K72" s="100"/>
      <c r="L72" s="94"/>
      <c r="M72" s="81"/>
      <c r="N72" s="100"/>
      <c r="O72" s="94"/>
      <c r="P72" s="81"/>
      <c r="Q72" s="44"/>
      <c r="R72" s="44"/>
    </row>
    <row r="73" spans="1:18" ht="15.75" customHeight="1" x14ac:dyDescent="0.35">
      <c r="A73" s="88"/>
      <c r="B73" s="74"/>
      <c r="C73" s="69"/>
      <c r="D73" s="60"/>
      <c r="E73" s="75"/>
      <c r="F73" s="105"/>
      <c r="G73" s="100"/>
      <c r="H73" s="94"/>
      <c r="I73" s="80"/>
      <c r="J73" s="81"/>
      <c r="K73" s="100"/>
      <c r="L73" s="94"/>
      <c r="M73" s="81"/>
      <c r="N73" s="100"/>
      <c r="O73" s="94"/>
      <c r="P73" s="81"/>
      <c r="Q73" s="44"/>
      <c r="R73" s="44"/>
    </row>
    <row r="74" spans="1:18" ht="15.75" customHeight="1" x14ac:dyDescent="0.35">
      <c r="A74" s="88"/>
      <c r="B74" s="74"/>
      <c r="C74" s="69"/>
      <c r="D74" s="60"/>
      <c r="E74" s="75"/>
      <c r="F74" s="105"/>
      <c r="G74" s="100"/>
      <c r="H74" s="94"/>
      <c r="I74" s="80"/>
      <c r="J74" s="81"/>
      <c r="K74" s="100"/>
      <c r="L74" s="94"/>
      <c r="M74" s="81"/>
      <c r="N74" s="100"/>
      <c r="O74" s="94"/>
      <c r="P74" s="81"/>
      <c r="Q74" s="44"/>
      <c r="R74" s="44"/>
    </row>
    <row r="75" spans="1:18" ht="15.75" customHeight="1" x14ac:dyDescent="0.35">
      <c r="A75" s="88"/>
      <c r="B75" s="74"/>
      <c r="C75" s="69"/>
      <c r="D75" s="60"/>
      <c r="E75" s="75"/>
      <c r="F75" s="105"/>
      <c r="G75" s="100"/>
      <c r="H75" s="94"/>
      <c r="I75" s="80"/>
      <c r="J75" s="81"/>
      <c r="K75" s="100"/>
      <c r="L75" s="94"/>
      <c r="M75" s="81"/>
      <c r="N75" s="100"/>
      <c r="O75" s="94"/>
      <c r="P75" s="81"/>
      <c r="Q75" s="44"/>
      <c r="R75" s="44"/>
    </row>
    <row r="76" spans="1:18" ht="15.75" customHeight="1" x14ac:dyDescent="0.35">
      <c r="A76" s="88"/>
      <c r="B76" s="74"/>
      <c r="C76" s="69"/>
      <c r="D76" s="60"/>
      <c r="E76" s="75"/>
      <c r="F76" s="105"/>
      <c r="G76" s="100"/>
      <c r="H76" s="94"/>
      <c r="I76" s="80"/>
      <c r="J76" s="81"/>
      <c r="K76" s="100"/>
      <c r="L76" s="94"/>
      <c r="M76" s="81"/>
      <c r="N76" s="100"/>
      <c r="O76" s="94"/>
      <c r="P76" s="81"/>
      <c r="Q76" s="44"/>
      <c r="R76" s="44"/>
    </row>
    <row r="77" spans="1:18" ht="15.75" customHeight="1" x14ac:dyDescent="0.35">
      <c r="A77" s="88"/>
      <c r="B77" s="74"/>
      <c r="C77" s="69"/>
      <c r="D77" s="60"/>
      <c r="E77" s="75"/>
      <c r="F77" s="105"/>
      <c r="G77" s="100"/>
      <c r="H77" s="94"/>
      <c r="I77" s="80"/>
      <c r="J77" s="81"/>
      <c r="K77" s="100"/>
      <c r="L77" s="94"/>
      <c r="M77" s="81"/>
      <c r="N77" s="100"/>
      <c r="O77" s="94"/>
      <c r="P77" s="81"/>
      <c r="Q77" s="44"/>
      <c r="R77" s="44"/>
    </row>
    <row r="78" spans="1:18" ht="15.75" customHeight="1" x14ac:dyDescent="0.35">
      <c r="A78" s="88"/>
      <c r="B78" s="74"/>
      <c r="C78" s="69"/>
      <c r="D78" s="60"/>
      <c r="E78" s="75"/>
      <c r="F78" s="105"/>
      <c r="G78" s="100"/>
      <c r="H78" s="94"/>
      <c r="I78" s="80"/>
      <c r="J78" s="81"/>
      <c r="K78" s="100"/>
      <c r="L78" s="94"/>
      <c r="M78" s="81"/>
      <c r="N78" s="100"/>
      <c r="O78" s="94"/>
      <c r="P78" s="81"/>
      <c r="Q78" s="44"/>
      <c r="R78" s="44"/>
    </row>
    <row r="79" spans="1:18" ht="15.75" customHeight="1" x14ac:dyDescent="0.35">
      <c r="A79" s="88"/>
      <c r="B79" s="74"/>
      <c r="C79" s="69"/>
      <c r="D79" s="60"/>
      <c r="E79" s="75"/>
      <c r="F79" s="105"/>
      <c r="G79" s="100"/>
      <c r="H79" s="94"/>
      <c r="I79" s="80"/>
      <c r="J79" s="81"/>
      <c r="K79" s="100"/>
      <c r="L79" s="94"/>
      <c r="M79" s="81"/>
      <c r="N79" s="100"/>
      <c r="O79" s="94"/>
      <c r="P79" s="81"/>
      <c r="Q79" s="44"/>
      <c r="R79" s="44"/>
    </row>
    <row r="80" spans="1:18" ht="15.75" customHeight="1" x14ac:dyDescent="0.35">
      <c r="A80" s="88"/>
      <c r="B80" s="74"/>
      <c r="C80" s="69"/>
      <c r="D80" s="60"/>
      <c r="E80" s="75"/>
      <c r="F80" s="105"/>
      <c r="G80" s="100"/>
      <c r="H80" s="94"/>
      <c r="I80" s="80"/>
      <c r="J80" s="81"/>
      <c r="K80" s="100"/>
      <c r="L80" s="94"/>
      <c r="M80" s="81"/>
      <c r="N80" s="100"/>
      <c r="O80" s="94"/>
      <c r="P80" s="81"/>
      <c r="Q80" s="44"/>
      <c r="R80" s="44"/>
    </row>
    <row r="81" spans="1:18" ht="15.75" customHeight="1" x14ac:dyDescent="0.35">
      <c r="A81" s="88"/>
      <c r="B81" s="74"/>
      <c r="C81" s="69"/>
      <c r="D81" s="60"/>
      <c r="E81" s="75"/>
      <c r="F81" s="105"/>
      <c r="G81" s="100"/>
      <c r="H81" s="94"/>
      <c r="I81" s="80"/>
      <c r="J81" s="81"/>
      <c r="K81" s="100"/>
      <c r="L81" s="94"/>
      <c r="M81" s="81"/>
      <c r="N81" s="100"/>
      <c r="O81" s="94"/>
      <c r="P81" s="81"/>
      <c r="Q81" s="44"/>
      <c r="R81" s="44"/>
    </row>
    <row r="82" spans="1:18" ht="15.75" customHeight="1" x14ac:dyDescent="0.35">
      <c r="A82" s="88"/>
      <c r="B82" s="74"/>
      <c r="C82" s="69"/>
      <c r="D82" s="60"/>
      <c r="E82" s="75"/>
      <c r="F82" s="105"/>
      <c r="G82" s="100"/>
      <c r="H82" s="94"/>
      <c r="I82" s="80"/>
      <c r="J82" s="81"/>
      <c r="K82" s="100"/>
      <c r="L82" s="94"/>
      <c r="M82" s="81"/>
      <c r="N82" s="100"/>
      <c r="O82" s="94"/>
      <c r="P82" s="81"/>
      <c r="Q82" s="44"/>
      <c r="R82" s="44"/>
    </row>
    <row r="83" spans="1:18" ht="15.75" customHeight="1" x14ac:dyDescent="0.35">
      <c r="A83" s="88"/>
      <c r="B83" s="74"/>
      <c r="C83" s="69"/>
      <c r="D83" s="60"/>
      <c r="E83" s="75"/>
      <c r="F83" s="105"/>
      <c r="G83" s="100"/>
      <c r="H83" s="94"/>
      <c r="I83" s="80"/>
      <c r="J83" s="81"/>
      <c r="K83" s="100"/>
      <c r="L83" s="94"/>
      <c r="M83" s="81"/>
      <c r="N83" s="100"/>
      <c r="O83" s="94"/>
      <c r="P83" s="81"/>
      <c r="Q83" s="44"/>
      <c r="R83" s="44"/>
    </row>
    <row r="84" spans="1:18" ht="15.75" customHeight="1" x14ac:dyDescent="0.35">
      <c r="A84" s="88"/>
      <c r="B84" s="74"/>
      <c r="C84" s="69"/>
      <c r="D84" s="60"/>
      <c r="E84" s="75"/>
      <c r="F84" s="105"/>
      <c r="G84" s="100"/>
      <c r="H84" s="94"/>
      <c r="I84" s="80"/>
      <c r="J84" s="81"/>
      <c r="K84" s="100"/>
      <c r="L84" s="94"/>
      <c r="M84" s="81"/>
      <c r="N84" s="100"/>
      <c r="O84" s="94"/>
      <c r="P84" s="81"/>
      <c r="Q84" s="44"/>
      <c r="R84" s="44"/>
    </row>
    <row r="85" spans="1:18" ht="15.75" customHeight="1" x14ac:dyDescent="0.35">
      <c r="A85" s="88"/>
      <c r="B85" s="74"/>
      <c r="C85" s="69"/>
      <c r="D85" s="60"/>
      <c r="E85" s="75"/>
      <c r="F85" s="105"/>
      <c r="G85" s="100"/>
      <c r="H85" s="94"/>
      <c r="I85" s="80"/>
      <c r="J85" s="81"/>
      <c r="K85" s="100"/>
      <c r="L85" s="94"/>
      <c r="M85" s="81"/>
      <c r="N85" s="100"/>
      <c r="O85" s="94"/>
      <c r="P85" s="81"/>
      <c r="Q85" s="44"/>
      <c r="R85" s="44"/>
    </row>
    <row r="86" spans="1:18" ht="15.75" customHeight="1" x14ac:dyDescent="0.35">
      <c r="A86" s="88"/>
      <c r="B86" s="74"/>
      <c r="C86" s="69"/>
      <c r="D86" s="60"/>
      <c r="E86" s="75"/>
      <c r="F86" s="105"/>
      <c r="G86" s="100"/>
      <c r="H86" s="94"/>
      <c r="I86" s="80"/>
      <c r="J86" s="81"/>
      <c r="K86" s="100"/>
      <c r="L86" s="94"/>
      <c r="M86" s="81"/>
      <c r="N86" s="100"/>
      <c r="O86" s="94"/>
      <c r="P86" s="81"/>
      <c r="Q86" s="44"/>
      <c r="R86" s="44"/>
    </row>
    <row r="87" spans="1:18" ht="15.75" customHeight="1" x14ac:dyDescent="0.35">
      <c r="A87" s="283"/>
      <c r="B87" s="284"/>
      <c r="C87" s="284"/>
      <c r="D87" s="284"/>
      <c r="E87" s="284"/>
      <c r="F87" s="284"/>
      <c r="G87" s="284"/>
      <c r="H87" s="284"/>
      <c r="I87" s="284"/>
      <c r="J87" s="284"/>
      <c r="K87" s="284"/>
      <c r="L87" s="284"/>
      <c r="M87" s="284"/>
      <c r="N87" s="284"/>
      <c r="O87" s="285"/>
      <c r="P87" s="81"/>
      <c r="Q87" s="44"/>
      <c r="R87" s="44"/>
    </row>
    <row r="88" spans="1:18" ht="15.75" customHeight="1" x14ac:dyDescent="0.35">
      <c r="A88" s="88"/>
      <c r="B88" s="74"/>
      <c r="C88" s="69"/>
      <c r="D88" s="60"/>
      <c r="E88" s="75"/>
      <c r="F88" s="105"/>
      <c r="G88" s="100"/>
      <c r="H88" s="94"/>
      <c r="I88" s="80"/>
      <c r="J88" s="81"/>
      <c r="K88" s="100"/>
      <c r="L88" s="94"/>
      <c r="M88" s="81"/>
      <c r="N88" s="100"/>
      <c r="O88" s="94"/>
      <c r="P88" s="81"/>
      <c r="Q88" s="44"/>
      <c r="R88" s="44"/>
    </row>
    <row r="89" spans="1:18" ht="15.75" customHeight="1" x14ac:dyDescent="0.35">
      <c r="A89" s="88"/>
      <c r="B89" s="74"/>
      <c r="C89" s="69"/>
      <c r="D89" s="60"/>
      <c r="E89" s="75"/>
      <c r="F89" s="105"/>
      <c r="G89" s="100"/>
      <c r="H89" s="94"/>
      <c r="I89" s="80"/>
      <c r="J89" s="81"/>
      <c r="K89" s="100"/>
      <c r="L89" s="94"/>
      <c r="M89" s="81"/>
      <c r="N89" s="100"/>
      <c r="O89" s="94"/>
      <c r="P89" s="81"/>
      <c r="Q89" s="44"/>
      <c r="R89" s="44"/>
    </row>
    <row r="90" spans="1:18" ht="15.75" customHeight="1" x14ac:dyDescent="0.35">
      <c r="A90" s="88"/>
      <c r="B90" s="74"/>
      <c r="C90" s="69"/>
      <c r="D90" s="60"/>
      <c r="E90" s="75"/>
      <c r="F90" s="105"/>
      <c r="G90" s="100"/>
      <c r="H90" s="94"/>
      <c r="I90" s="80"/>
      <c r="J90" s="81"/>
      <c r="K90" s="100"/>
      <c r="L90" s="94"/>
      <c r="M90" s="81"/>
      <c r="N90" s="100"/>
      <c r="O90" s="94"/>
      <c r="P90" s="81"/>
      <c r="Q90" s="44"/>
      <c r="R90" s="44"/>
    </row>
    <row r="91" spans="1:18" ht="15.75" customHeight="1" x14ac:dyDescent="0.35">
      <c r="A91" s="88"/>
      <c r="B91" s="74"/>
      <c r="C91" s="69"/>
      <c r="D91" s="60"/>
      <c r="E91" s="75"/>
      <c r="F91" s="105"/>
      <c r="G91" s="100"/>
      <c r="H91" s="94"/>
      <c r="I91" s="80"/>
      <c r="J91" s="81"/>
      <c r="K91" s="100"/>
      <c r="L91" s="94"/>
      <c r="M91" s="81"/>
      <c r="N91" s="100"/>
      <c r="O91" s="94"/>
      <c r="P91" s="81"/>
      <c r="Q91" s="44"/>
      <c r="R91" s="44"/>
    </row>
    <row r="92" spans="1:18" ht="15.75" customHeight="1" x14ac:dyDescent="0.35">
      <c r="A92" s="88"/>
      <c r="B92" s="74"/>
      <c r="C92" s="69"/>
      <c r="D92" s="60"/>
      <c r="E92" s="75"/>
      <c r="F92" s="105"/>
      <c r="G92" s="100"/>
      <c r="H92" s="94"/>
      <c r="I92" s="80"/>
      <c r="J92" s="81"/>
      <c r="K92" s="100"/>
      <c r="L92" s="94"/>
      <c r="M92" s="81"/>
      <c r="N92" s="100"/>
      <c r="O92" s="94"/>
      <c r="P92" s="81"/>
      <c r="Q92" s="44"/>
      <c r="R92" s="44"/>
    </row>
    <row r="93" spans="1:18" ht="15.75" customHeight="1" x14ac:dyDescent="0.35">
      <c r="A93" s="88"/>
      <c r="B93" s="74"/>
      <c r="C93" s="69"/>
      <c r="D93" s="60"/>
      <c r="E93" s="75"/>
      <c r="F93" s="105"/>
      <c r="G93" s="100"/>
      <c r="H93" s="94"/>
      <c r="I93" s="80"/>
      <c r="J93" s="81"/>
      <c r="K93" s="100"/>
      <c r="L93" s="94"/>
      <c r="M93" s="81"/>
      <c r="N93" s="100"/>
      <c r="O93" s="94"/>
      <c r="P93" s="81"/>
      <c r="Q93" s="44"/>
      <c r="R93" s="44"/>
    </row>
    <row r="94" spans="1:18" ht="15.75" customHeight="1" x14ac:dyDescent="0.35">
      <c r="A94" s="88"/>
      <c r="B94" s="74"/>
      <c r="C94" s="69"/>
      <c r="D94" s="60"/>
      <c r="E94" s="75"/>
      <c r="F94" s="105"/>
      <c r="G94" s="100"/>
      <c r="H94" s="94"/>
      <c r="I94" s="80"/>
      <c r="J94" s="81"/>
      <c r="K94" s="100"/>
      <c r="L94" s="94"/>
      <c r="M94" s="81"/>
      <c r="N94" s="100"/>
      <c r="O94" s="94"/>
      <c r="P94" s="81"/>
      <c r="Q94" s="44"/>
      <c r="R94" s="44"/>
    </row>
    <row r="95" spans="1:18" ht="15.75" customHeight="1" x14ac:dyDescent="0.35">
      <c r="A95" s="88"/>
      <c r="B95" s="74"/>
      <c r="C95" s="69"/>
      <c r="D95" s="60"/>
      <c r="E95" s="75"/>
      <c r="F95" s="105"/>
      <c r="G95" s="100"/>
      <c r="H95" s="94"/>
      <c r="I95" s="80"/>
      <c r="J95" s="81"/>
      <c r="K95" s="100"/>
      <c r="L95" s="94"/>
      <c r="M95" s="81"/>
      <c r="N95" s="100"/>
      <c r="O95" s="94"/>
      <c r="P95" s="81"/>
      <c r="Q95" s="44"/>
      <c r="R95" s="44"/>
    </row>
    <row r="96" spans="1:18" ht="15.75" customHeight="1" x14ac:dyDescent="0.35">
      <c r="A96" s="88"/>
      <c r="B96" s="74"/>
      <c r="C96" s="69"/>
      <c r="D96" s="60"/>
      <c r="E96" s="75"/>
      <c r="F96" s="105"/>
      <c r="G96" s="100"/>
      <c r="H96" s="94"/>
      <c r="I96" s="80"/>
      <c r="J96" s="81"/>
      <c r="K96" s="100"/>
      <c r="L96" s="94"/>
      <c r="M96" s="81"/>
      <c r="N96" s="100"/>
      <c r="O96" s="94"/>
      <c r="P96" s="81"/>
      <c r="Q96" s="44"/>
      <c r="R96" s="44"/>
    </row>
    <row r="97" spans="1:18" ht="15.75" customHeight="1" x14ac:dyDescent="0.35">
      <c r="A97" s="88"/>
      <c r="B97" s="74"/>
      <c r="C97" s="69"/>
      <c r="D97" s="60"/>
      <c r="E97" s="75"/>
      <c r="F97" s="105"/>
      <c r="G97" s="100"/>
      <c r="H97" s="94"/>
      <c r="I97" s="80"/>
      <c r="J97" s="81"/>
      <c r="K97" s="100"/>
      <c r="L97" s="94"/>
      <c r="M97" s="81"/>
      <c r="N97" s="100"/>
      <c r="O97" s="94"/>
      <c r="P97" s="81"/>
      <c r="Q97" s="44"/>
      <c r="R97" s="44"/>
    </row>
    <row r="98" spans="1:18" ht="15.75" customHeight="1" x14ac:dyDescent="0.35">
      <c r="A98" s="88"/>
      <c r="B98" s="74"/>
      <c r="C98" s="69"/>
      <c r="D98" s="60"/>
      <c r="E98" s="75"/>
      <c r="F98" s="105"/>
      <c r="G98" s="100"/>
      <c r="H98" s="94"/>
      <c r="I98" s="80"/>
      <c r="J98" s="81"/>
      <c r="K98" s="100"/>
      <c r="L98" s="94"/>
      <c r="M98" s="81"/>
      <c r="N98" s="100"/>
      <c r="O98" s="94"/>
      <c r="P98" s="81"/>
      <c r="Q98" s="44"/>
      <c r="R98" s="44"/>
    </row>
    <row r="99" spans="1:18" ht="15.75" customHeight="1" x14ac:dyDescent="0.35">
      <c r="A99" s="88"/>
      <c r="B99" s="74"/>
      <c r="C99" s="69"/>
      <c r="D99" s="60"/>
      <c r="E99" s="75"/>
      <c r="F99" s="105"/>
      <c r="G99" s="100"/>
      <c r="H99" s="94"/>
      <c r="I99" s="80"/>
      <c r="J99" s="81"/>
      <c r="K99" s="100"/>
      <c r="L99" s="94"/>
      <c r="M99" s="81"/>
      <c r="N99" s="100"/>
      <c r="O99" s="94"/>
      <c r="P99" s="81"/>
      <c r="Q99" s="44"/>
      <c r="R99" s="44"/>
    </row>
    <row r="100" spans="1:18" ht="15.75" customHeight="1" x14ac:dyDescent="0.35">
      <c r="A100" s="88"/>
      <c r="B100" s="74"/>
      <c r="C100" s="69"/>
      <c r="D100" s="60"/>
      <c r="E100" s="75"/>
      <c r="F100" s="105"/>
      <c r="G100" s="100"/>
      <c r="H100" s="94"/>
      <c r="I100" s="80"/>
      <c r="J100" s="81"/>
      <c r="K100" s="100"/>
      <c r="L100" s="94"/>
      <c r="M100" s="81"/>
      <c r="N100" s="100"/>
      <c r="O100" s="94"/>
      <c r="P100" s="81"/>
      <c r="Q100" s="44"/>
      <c r="R100" s="44"/>
    </row>
    <row r="101" spans="1:18" ht="15.75" customHeight="1" x14ac:dyDescent="0.35">
      <c r="A101" s="88"/>
      <c r="B101" s="74"/>
      <c r="C101" s="69"/>
      <c r="D101" s="60"/>
      <c r="E101" s="75"/>
      <c r="F101" s="105"/>
      <c r="G101" s="100"/>
      <c r="H101" s="94"/>
      <c r="I101" s="80"/>
      <c r="J101" s="81"/>
      <c r="K101" s="100"/>
      <c r="L101" s="94"/>
      <c r="M101" s="81"/>
      <c r="N101" s="100"/>
      <c r="O101" s="94"/>
      <c r="P101" s="81"/>
      <c r="Q101" s="44"/>
      <c r="R101" s="44"/>
    </row>
    <row r="102" spans="1:18" ht="15.75" customHeight="1" x14ac:dyDescent="0.35">
      <c r="A102" s="88"/>
      <c r="B102" s="74"/>
      <c r="C102" s="69"/>
      <c r="D102" s="60"/>
      <c r="E102" s="75"/>
      <c r="F102" s="105"/>
      <c r="G102" s="100"/>
      <c r="H102" s="94"/>
      <c r="I102" s="80"/>
      <c r="J102" s="81"/>
      <c r="K102" s="100"/>
      <c r="L102" s="94"/>
      <c r="M102" s="81"/>
      <c r="N102" s="100"/>
      <c r="O102" s="94"/>
      <c r="P102" s="81"/>
      <c r="Q102" s="44"/>
      <c r="R102" s="44"/>
    </row>
    <row r="103" spans="1:18" ht="15.75" customHeight="1" x14ac:dyDescent="0.35">
      <c r="A103" s="88"/>
      <c r="B103" s="74"/>
      <c r="C103" s="69"/>
      <c r="D103" s="60"/>
      <c r="E103" s="75"/>
      <c r="F103" s="105"/>
      <c r="G103" s="100"/>
      <c r="H103" s="94"/>
      <c r="I103" s="80"/>
      <c r="J103" s="81"/>
      <c r="K103" s="100"/>
      <c r="L103" s="94"/>
      <c r="M103" s="81"/>
      <c r="N103" s="100"/>
      <c r="O103" s="94"/>
      <c r="P103" s="81"/>
      <c r="Q103" s="44"/>
      <c r="R103" s="44"/>
    </row>
    <row r="104" spans="1:18" ht="15.75" customHeight="1" x14ac:dyDescent="0.35">
      <c r="A104" s="88"/>
      <c r="B104" s="74"/>
      <c r="C104" s="69"/>
      <c r="D104" s="60"/>
      <c r="E104" s="75"/>
      <c r="F104" s="105"/>
      <c r="G104" s="100"/>
      <c r="H104" s="94"/>
      <c r="I104" s="80"/>
      <c r="J104" s="81"/>
      <c r="K104" s="100"/>
      <c r="L104" s="94"/>
      <c r="M104" s="81"/>
      <c r="N104" s="100"/>
      <c r="O104" s="94"/>
      <c r="P104" s="81"/>
      <c r="Q104" s="44"/>
      <c r="R104" s="44"/>
    </row>
    <row r="105" spans="1:18" ht="15.75" customHeight="1" x14ac:dyDescent="0.35">
      <c r="A105" s="88"/>
      <c r="B105" s="74"/>
      <c r="C105" s="69"/>
      <c r="D105" s="60"/>
      <c r="E105" s="75"/>
      <c r="F105" s="105"/>
      <c r="G105" s="100"/>
      <c r="H105" s="94"/>
      <c r="I105" s="80"/>
      <c r="J105" s="81"/>
      <c r="K105" s="100"/>
      <c r="L105" s="94"/>
      <c r="M105" s="81"/>
      <c r="N105" s="100"/>
      <c r="O105" s="94"/>
      <c r="P105" s="81"/>
      <c r="Q105" s="44"/>
      <c r="R105" s="44"/>
    </row>
    <row r="106" spans="1:18" ht="15.75" customHeight="1" x14ac:dyDescent="0.35">
      <c r="A106" s="88"/>
      <c r="B106" s="74"/>
      <c r="C106" s="69"/>
      <c r="D106" s="60"/>
      <c r="E106" s="75"/>
      <c r="F106" s="105"/>
      <c r="G106" s="100"/>
      <c r="H106" s="94"/>
      <c r="I106" s="80"/>
      <c r="J106" s="81"/>
      <c r="K106" s="100"/>
      <c r="L106" s="94"/>
      <c r="M106" s="81"/>
      <c r="N106" s="100"/>
      <c r="O106" s="94"/>
      <c r="P106" s="81"/>
      <c r="Q106" s="44"/>
      <c r="R106" s="44"/>
    </row>
    <row r="107" spans="1:18" ht="15.75" customHeight="1" x14ac:dyDescent="0.35">
      <c r="A107" s="88"/>
      <c r="B107" s="74"/>
      <c r="C107" s="69"/>
      <c r="D107" s="60"/>
      <c r="E107" s="75"/>
      <c r="F107" s="105"/>
      <c r="G107" s="100"/>
      <c r="H107" s="94"/>
      <c r="I107" s="80"/>
      <c r="J107" s="81"/>
      <c r="K107" s="100"/>
      <c r="L107" s="94"/>
      <c r="M107" s="81"/>
      <c r="N107" s="100"/>
      <c r="O107" s="94"/>
      <c r="P107" s="81"/>
      <c r="Q107" s="44"/>
      <c r="R107" s="44"/>
    </row>
    <row r="108" spans="1:18" ht="15.75" customHeight="1" x14ac:dyDescent="0.35">
      <c r="A108" s="88"/>
      <c r="B108" s="74"/>
      <c r="C108" s="69"/>
      <c r="D108" s="60"/>
      <c r="E108" s="75"/>
      <c r="F108" s="105"/>
      <c r="G108" s="100"/>
      <c r="H108" s="94"/>
      <c r="I108" s="80"/>
      <c r="J108" s="81"/>
      <c r="K108" s="100"/>
      <c r="L108" s="94"/>
      <c r="M108" s="81"/>
      <c r="N108" s="100"/>
      <c r="O108" s="94"/>
      <c r="P108" s="81"/>
      <c r="Q108" s="44"/>
      <c r="R108" s="44"/>
    </row>
    <row r="109" spans="1:18" ht="15.75" customHeight="1" x14ac:dyDescent="0.35">
      <c r="A109" s="88"/>
      <c r="B109" s="74"/>
      <c r="C109" s="69"/>
      <c r="D109" s="60"/>
      <c r="E109" s="75"/>
      <c r="F109" s="105"/>
      <c r="G109" s="100"/>
      <c r="H109" s="94"/>
      <c r="I109" s="80"/>
      <c r="J109" s="81"/>
      <c r="K109" s="100"/>
      <c r="L109" s="94"/>
      <c r="M109" s="81"/>
      <c r="N109" s="100"/>
      <c r="O109" s="94"/>
      <c r="P109" s="81"/>
      <c r="Q109" s="44"/>
      <c r="R109" s="44"/>
    </row>
    <row r="110" spans="1:18" ht="15.75" customHeight="1" x14ac:dyDescent="0.35">
      <c r="A110" s="88"/>
      <c r="B110" s="74"/>
      <c r="C110" s="69"/>
      <c r="D110" s="60"/>
      <c r="E110" s="75"/>
      <c r="F110" s="105"/>
      <c r="G110" s="100"/>
      <c r="H110" s="94"/>
      <c r="I110" s="80"/>
      <c r="J110" s="81"/>
      <c r="K110" s="100"/>
      <c r="L110" s="94"/>
      <c r="M110" s="81"/>
      <c r="N110" s="100"/>
      <c r="O110" s="94"/>
      <c r="P110" s="81"/>
      <c r="Q110" s="44"/>
      <c r="R110" s="44"/>
    </row>
    <row r="111" spans="1:18" ht="15.75" customHeight="1" x14ac:dyDescent="0.35">
      <c r="A111" s="88"/>
      <c r="B111" s="74"/>
      <c r="C111" s="69"/>
      <c r="D111" s="60"/>
      <c r="E111" s="75"/>
      <c r="F111" s="105"/>
      <c r="G111" s="100"/>
      <c r="H111" s="94"/>
      <c r="I111" s="80"/>
      <c r="J111" s="81"/>
      <c r="K111" s="100"/>
      <c r="L111" s="94"/>
      <c r="M111" s="81"/>
      <c r="N111" s="100"/>
      <c r="O111" s="94"/>
      <c r="P111" s="81"/>
      <c r="Q111" s="44"/>
      <c r="R111" s="44"/>
    </row>
    <row r="112" spans="1:18" ht="15.75" customHeight="1" x14ac:dyDescent="0.35">
      <c r="A112" s="88"/>
      <c r="B112" s="74"/>
      <c r="C112" s="69"/>
      <c r="D112" s="60"/>
      <c r="E112" s="75"/>
      <c r="F112" s="105"/>
      <c r="G112" s="100"/>
      <c r="H112" s="94"/>
      <c r="I112" s="80"/>
      <c r="J112" s="81"/>
      <c r="K112" s="100"/>
      <c r="L112" s="94"/>
      <c r="M112" s="81"/>
      <c r="N112" s="100"/>
      <c r="O112" s="94"/>
      <c r="P112" s="81"/>
      <c r="Q112" s="44"/>
      <c r="R112" s="44"/>
    </row>
    <row r="113" spans="1:18" ht="15.75" customHeight="1" x14ac:dyDescent="0.35">
      <c r="A113" s="88"/>
      <c r="B113" s="74"/>
      <c r="C113" s="69"/>
      <c r="D113" s="60"/>
      <c r="E113" s="75"/>
      <c r="F113" s="105"/>
      <c r="G113" s="100"/>
      <c r="H113" s="94"/>
      <c r="I113" s="80"/>
      <c r="J113" s="81"/>
      <c r="K113" s="100"/>
      <c r="L113" s="94"/>
      <c r="M113" s="81"/>
      <c r="N113" s="100"/>
      <c r="O113" s="94"/>
      <c r="P113" s="81"/>
      <c r="Q113" s="44"/>
      <c r="R113" s="44"/>
    </row>
    <row r="114" spans="1:18" ht="15.75" customHeight="1" x14ac:dyDescent="0.35">
      <c r="A114" s="88"/>
      <c r="B114" s="74"/>
      <c r="C114" s="69"/>
      <c r="D114" s="60"/>
      <c r="E114" s="75"/>
      <c r="F114" s="105"/>
      <c r="G114" s="100"/>
      <c r="H114" s="94"/>
      <c r="I114" s="80"/>
      <c r="J114" s="81"/>
      <c r="K114" s="100"/>
      <c r="L114" s="94"/>
      <c r="M114" s="81"/>
      <c r="N114" s="100"/>
      <c r="O114" s="94"/>
      <c r="P114" s="81"/>
      <c r="Q114" s="44"/>
      <c r="R114" s="44"/>
    </row>
    <row r="115" spans="1:18" ht="15.75" customHeight="1" x14ac:dyDescent="0.35">
      <c r="A115" s="88"/>
      <c r="B115" s="74"/>
      <c r="C115" s="69"/>
      <c r="D115" s="60"/>
      <c r="E115" s="75"/>
      <c r="F115" s="105"/>
      <c r="G115" s="100"/>
      <c r="H115" s="94"/>
      <c r="I115" s="80"/>
      <c r="J115" s="81"/>
      <c r="K115" s="100"/>
      <c r="L115" s="94"/>
      <c r="M115" s="81"/>
      <c r="N115" s="100"/>
      <c r="O115" s="94"/>
      <c r="P115" s="81"/>
      <c r="Q115" s="44"/>
      <c r="R115" s="44"/>
    </row>
    <row r="116" spans="1:18" ht="15.75" customHeight="1" x14ac:dyDescent="0.35">
      <c r="A116" s="88"/>
      <c r="B116" s="74"/>
      <c r="C116" s="69"/>
      <c r="D116" s="60"/>
      <c r="E116" s="75"/>
      <c r="F116" s="105"/>
      <c r="G116" s="100"/>
      <c r="H116" s="94"/>
      <c r="I116" s="80"/>
      <c r="J116" s="81"/>
      <c r="K116" s="100"/>
      <c r="L116" s="94"/>
      <c r="M116" s="81"/>
      <c r="N116" s="100"/>
      <c r="O116" s="94"/>
      <c r="P116" s="81"/>
      <c r="Q116" s="44"/>
      <c r="R116" s="44"/>
    </row>
    <row r="117" spans="1:18" ht="15.75" customHeight="1" x14ac:dyDescent="0.35">
      <c r="A117" s="88"/>
      <c r="B117" s="74"/>
      <c r="C117" s="69"/>
      <c r="D117" s="60"/>
      <c r="E117" s="75"/>
      <c r="F117" s="105"/>
      <c r="G117" s="100"/>
      <c r="H117" s="94"/>
      <c r="I117" s="80"/>
      <c r="J117" s="81"/>
      <c r="K117" s="100"/>
      <c r="L117" s="94"/>
      <c r="M117" s="81"/>
      <c r="N117" s="100"/>
      <c r="O117" s="94"/>
      <c r="P117" s="81"/>
      <c r="Q117" s="44"/>
      <c r="R117" s="44"/>
    </row>
    <row r="118" spans="1:18" ht="15.75" customHeight="1" x14ac:dyDescent="0.35">
      <c r="A118" s="88"/>
      <c r="B118" s="74"/>
      <c r="C118" s="69"/>
      <c r="D118" s="60"/>
      <c r="E118" s="75"/>
      <c r="F118" s="105"/>
      <c r="G118" s="100"/>
      <c r="H118" s="94"/>
      <c r="I118" s="80"/>
      <c r="J118" s="81"/>
      <c r="K118" s="100"/>
      <c r="L118" s="94"/>
      <c r="M118" s="81"/>
      <c r="N118" s="100"/>
      <c r="O118" s="94"/>
      <c r="P118" s="81"/>
      <c r="Q118" s="44"/>
      <c r="R118" s="44"/>
    </row>
    <row r="119" spans="1:18" ht="15.75" customHeight="1" x14ac:dyDescent="0.35">
      <c r="A119" s="88"/>
      <c r="B119" s="74"/>
      <c r="C119" s="69"/>
      <c r="D119" s="60"/>
      <c r="E119" s="75"/>
      <c r="F119" s="105"/>
      <c r="G119" s="100"/>
      <c r="H119" s="94"/>
      <c r="I119" s="80"/>
      <c r="J119" s="81"/>
      <c r="K119" s="100"/>
      <c r="L119" s="94"/>
      <c r="M119" s="81"/>
      <c r="N119" s="100"/>
      <c r="O119" s="94"/>
      <c r="P119" s="81"/>
      <c r="Q119" s="44"/>
      <c r="R119" s="44"/>
    </row>
    <row r="120" spans="1:18" ht="15.75" customHeight="1" x14ac:dyDescent="0.35">
      <c r="A120" s="88"/>
      <c r="B120" s="74"/>
      <c r="C120" s="69"/>
      <c r="D120" s="60"/>
      <c r="E120" s="75"/>
      <c r="F120" s="105"/>
      <c r="G120" s="100"/>
      <c r="H120" s="94"/>
      <c r="I120" s="80"/>
      <c r="J120" s="81"/>
      <c r="K120" s="100"/>
      <c r="L120" s="94"/>
      <c r="M120" s="81"/>
      <c r="N120" s="100"/>
      <c r="O120" s="94"/>
      <c r="P120" s="81"/>
      <c r="Q120" s="44"/>
      <c r="R120" s="44"/>
    </row>
    <row r="121" spans="1:18" ht="15.75" customHeight="1" x14ac:dyDescent="0.35">
      <c r="A121" s="88"/>
      <c r="B121" s="74"/>
      <c r="C121" s="69"/>
      <c r="D121" s="60"/>
      <c r="E121" s="75"/>
      <c r="F121" s="105"/>
      <c r="G121" s="100"/>
      <c r="H121" s="94"/>
      <c r="I121" s="80"/>
      <c r="J121" s="81"/>
      <c r="K121" s="100"/>
      <c r="L121" s="94"/>
      <c r="M121" s="81"/>
      <c r="N121" s="100"/>
      <c r="O121" s="94"/>
      <c r="P121" s="81"/>
      <c r="Q121" s="44"/>
      <c r="R121" s="44"/>
    </row>
    <row r="122" spans="1:18" ht="15.75" customHeight="1" x14ac:dyDescent="0.35">
      <c r="A122" s="88"/>
      <c r="B122" s="74"/>
      <c r="C122" s="69"/>
      <c r="D122" s="60"/>
      <c r="E122" s="75"/>
      <c r="F122" s="105"/>
      <c r="G122" s="100"/>
      <c r="H122" s="94"/>
      <c r="I122" s="80"/>
      <c r="J122" s="81"/>
      <c r="K122" s="100"/>
      <c r="L122" s="94"/>
      <c r="M122" s="81"/>
      <c r="N122" s="100"/>
      <c r="O122" s="94"/>
      <c r="P122" s="81"/>
      <c r="Q122" s="44"/>
      <c r="R122" s="44"/>
    </row>
    <row r="123" spans="1:18" ht="15.75" customHeight="1" x14ac:dyDescent="0.35">
      <c r="A123" s="88"/>
      <c r="B123" s="74"/>
      <c r="C123" s="69"/>
      <c r="D123" s="60"/>
      <c r="E123" s="75"/>
      <c r="F123" s="105"/>
      <c r="G123" s="100"/>
      <c r="H123" s="94"/>
      <c r="I123" s="80"/>
      <c r="J123" s="81"/>
      <c r="K123" s="100"/>
      <c r="L123" s="94"/>
      <c r="M123" s="81"/>
      <c r="N123" s="100"/>
      <c r="O123" s="94"/>
      <c r="P123" s="81"/>
      <c r="Q123" s="44"/>
      <c r="R123" s="44"/>
    </row>
    <row r="124" spans="1:18" ht="15.75" customHeight="1" x14ac:dyDescent="0.35">
      <c r="A124" s="88"/>
      <c r="B124" s="74"/>
      <c r="C124" s="69"/>
      <c r="D124" s="60"/>
      <c r="E124" s="75"/>
      <c r="F124" s="105"/>
      <c r="G124" s="100"/>
      <c r="H124" s="94"/>
      <c r="I124" s="80"/>
      <c r="J124" s="81"/>
      <c r="K124" s="100"/>
      <c r="L124" s="94"/>
      <c r="M124" s="81"/>
      <c r="N124" s="100"/>
      <c r="O124" s="94"/>
      <c r="P124" s="81"/>
      <c r="Q124" s="44"/>
      <c r="R124" s="44"/>
    </row>
    <row r="125" spans="1:18" ht="15.75" customHeight="1" x14ac:dyDescent="0.35">
      <c r="A125" s="88"/>
      <c r="B125" s="74"/>
      <c r="C125" s="69"/>
      <c r="D125" s="60"/>
      <c r="E125" s="75"/>
      <c r="F125" s="105"/>
      <c r="G125" s="100"/>
      <c r="H125" s="94"/>
      <c r="I125" s="80"/>
      <c r="J125" s="81"/>
      <c r="K125" s="100"/>
      <c r="L125" s="94"/>
      <c r="M125" s="81"/>
      <c r="N125" s="100"/>
      <c r="O125" s="94"/>
      <c r="P125" s="81"/>
      <c r="Q125" s="44"/>
      <c r="R125" s="44"/>
    </row>
    <row r="126" spans="1:18" ht="15.75" customHeight="1" x14ac:dyDescent="0.35">
      <c r="A126" s="88"/>
      <c r="B126" s="74"/>
      <c r="C126" s="69"/>
      <c r="D126" s="60"/>
      <c r="E126" s="75"/>
      <c r="F126" s="105"/>
      <c r="G126" s="100"/>
      <c r="H126" s="94"/>
      <c r="I126" s="80"/>
      <c r="J126" s="81"/>
      <c r="K126" s="100"/>
      <c r="L126" s="94"/>
      <c r="M126" s="81"/>
      <c r="N126" s="100"/>
      <c r="O126" s="94"/>
      <c r="P126" s="81"/>
      <c r="Q126" s="44"/>
      <c r="R126" s="44"/>
    </row>
    <row r="127" spans="1:18" ht="15.75" customHeight="1" x14ac:dyDescent="0.35">
      <c r="A127" s="88"/>
      <c r="B127" s="74"/>
      <c r="C127" s="69"/>
      <c r="D127" s="60"/>
      <c r="E127" s="75"/>
      <c r="F127" s="105"/>
      <c r="G127" s="100"/>
      <c r="H127" s="94"/>
      <c r="I127" s="80"/>
      <c r="J127" s="81"/>
      <c r="K127" s="100"/>
      <c r="L127" s="94"/>
      <c r="M127" s="81"/>
      <c r="N127" s="100"/>
      <c r="O127" s="94"/>
      <c r="P127" s="81"/>
      <c r="Q127" s="44"/>
      <c r="R127" s="44"/>
    </row>
    <row r="128" spans="1:18" ht="15.75" customHeight="1" x14ac:dyDescent="0.35">
      <c r="A128" s="88"/>
      <c r="B128" s="74"/>
      <c r="C128" s="69"/>
      <c r="D128" s="60"/>
      <c r="E128" s="75"/>
      <c r="F128" s="105"/>
      <c r="G128" s="100"/>
      <c r="H128" s="94"/>
      <c r="I128" s="80"/>
      <c r="J128" s="81"/>
      <c r="K128" s="100"/>
      <c r="L128" s="94"/>
      <c r="M128" s="81"/>
      <c r="N128" s="100"/>
      <c r="O128" s="94"/>
      <c r="P128" s="81"/>
      <c r="Q128" s="44"/>
      <c r="R128" s="44"/>
    </row>
    <row r="129" spans="1:18" ht="15.75" customHeight="1" x14ac:dyDescent="0.35">
      <c r="A129" s="88"/>
      <c r="B129" s="74"/>
      <c r="C129" s="69"/>
      <c r="D129" s="60"/>
      <c r="E129" s="75"/>
      <c r="F129" s="105"/>
      <c r="G129" s="100"/>
      <c r="H129" s="94"/>
      <c r="I129" s="80"/>
      <c r="J129" s="81"/>
      <c r="K129" s="100"/>
      <c r="L129" s="94"/>
      <c r="M129" s="81"/>
      <c r="N129" s="100"/>
      <c r="O129" s="94"/>
      <c r="P129" s="81"/>
      <c r="Q129" s="44"/>
      <c r="R129" s="44"/>
    </row>
    <row r="130" spans="1:18" ht="15.75" customHeight="1" x14ac:dyDescent="0.35">
      <c r="A130" s="88"/>
      <c r="B130" s="74"/>
      <c r="C130" s="69"/>
      <c r="D130" s="60"/>
      <c r="E130" s="75"/>
      <c r="F130" s="105"/>
      <c r="G130" s="100"/>
      <c r="H130" s="94"/>
      <c r="I130" s="80"/>
      <c r="J130" s="81"/>
      <c r="K130" s="100"/>
      <c r="L130" s="94"/>
      <c r="M130" s="81"/>
      <c r="N130" s="100"/>
      <c r="O130" s="94"/>
      <c r="P130" s="81"/>
      <c r="Q130" s="44"/>
      <c r="R130" s="44"/>
    </row>
    <row r="131" spans="1:18" ht="15.75" customHeight="1" x14ac:dyDescent="0.35">
      <c r="A131" s="88"/>
      <c r="B131" s="74"/>
      <c r="C131" s="69"/>
      <c r="D131" s="60"/>
      <c r="E131" s="75"/>
      <c r="F131" s="105"/>
      <c r="G131" s="100"/>
      <c r="H131" s="94"/>
      <c r="I131" s="80"/>
      <c r="J131" s="81"/>
      <c r="K131" s="100"/>
      <c r="L131" s="94"/>
      <c r="M131" s="81"/>
      <c r="N131" s="100"/>
      <c r="O131" s="94"/>
      <c r="P131" s="81"/>
      <c r="Q131" s="44"/>
      <c r="R131" s="44"/>
    </row>
    <row r="132" spans="1:18" ht="15.75" customHeight="1" x14ac:dyDescent="0.35">
      <c r="A132" s="88"/>
      <c r="B132" s="74"/>
      <c r="C132" s="69"/>
      <c r="D132" s="60"/>
      <c r="E132" s="75"/>
      <c r="F132" s="105"/>
      <c r="G132" s="100"/>
      <c r="H132" s="94"/>
      <c r="I132" s="80"/>
      <c r="J132" s="81"/>
      <c r="K132" s="100"/>
      <c r="L132" s="94"/>
      <c r="M132" s="81"/>
      <c r="N132" s="100"/>
      <c r="O132" s="94"/>
      <c r="P132" s="81"/>
      <c r="Q132" s="44"/>
      <c r="R132" s="44"/>
    </row>
    <row r="133" spans="1:18" ht="15.75" customHeight="1" x14ac:dyDescent="0.35">
      <c r="A133" s="88"/>
      <c r="B133" s="74"/>
      <c r="C133" s="69"/>
      <c r="D133" s="60"/>
      <c r="E133" s="75"/>
      <c r="F133" s="105"/>
      <c r="G133" s="100"/>
      <c r="H133" s="94"/>
      <c r="I133" s="80"/>
      <c r="J133" s="81"/>
      <c r="K133" s="100"/>
      <c r="L133" s="94"/>
      <c r="M133" s="81"/>
      <c r="N133" s="100"/>
      <c r="O133" s="94"/>
      <c r="P133" s="81"/>
      <c r="Q133" s="44"/>
      <c r="R133" s="44"/>
    </row>
    <row r="134" spans="1:18" ht="15.75" customHeight="1" x14ac:dyDescent="0.35">
      <c r="A134" s="88"/>
      <c r="B134" s="74"/>
      <c r="C134" s="69"/>
      <c r="D134" s="60"/>
      <c r="E134" s="75"/>
      <c r="F134" s="105"/>
      <c r="G134" s="100"/>
      <c r="H134" s="94"/>
      <c r="I134" s="80"/>
      <c r="J134" s="81"/>
      <c r="K134" s="100"/>
      <c r="L134" s="94"/>
      <c r="M134" s="81"/>
      <c r="N134" s="100"/>
      <c r="O134" s="94"/>
      <c r="P134" s="81"/>
      <c r="Q134" s="44"/>
      <c r="R134" s="44"/>
    </row>
    <row r="135" spans="1:18" ht="15.75" customHeight="1" x14ac:dyDescent="0.35">
      <c r="A135" s="88"/>
      <c r="B135" s="74"/>
      <c r="C135" s="69"/>
      <c r="D135" s="60"/>
      <c r="E135" s="75"/>
      <c r="F135" s="105"/>
      <c r="G135" s="100"/>
      <c r="H135" s="94"/>
      <c r="I135" s="80"/>
      <c r="J135" s="81"/>
      <c r="K135" s="100"/>
      <c r="L135" s="94"/>
      <c r="M135" s="81"/>
      <c r="N135" s="100"/>
      <c r="O135" s="94"/>
      <c r="P135" s="81"/>
      <c r="Q135" s="44"/>
      <c r="R135" s="44"/>
    </row>
    <row r="136" spans="1:18" ht="15.75" customHeight="1" x14ac:dyDescent="0.35">
      <c r="A136" s="88"/>
      <c r="B136" s="74"/>
      <c r="C136" s="69"/>
      <c r="D136" s="60"/>
      <c r="E136" s="75"/>
      <c r="F136" s="105"/>
      <c r="G136" s="100"/>
      <c r="H136" s="94"/>
      <c r="I136" s="80"/>
      <c r="J136" s="81"/>
      <c r="K136" s="100"/>
      <c r="L136" s="94"/>
      <c r="M136" s="81"/>
      <c r="N136" s="100"/>
      <c r="O136" s="94"/>
      <c r="P136" s="81"/>
      <c r="Q136" s="44"/>
      <c r="R136" s="44"/>
    </row>
    <row r="137" spans="1:18" ht="15.75" customHeight="1" x14ac:dyDescent="0.35">
      <c r="A137" s="88"/>
      <c r="B137" s="74"/>
      <c r="C137" s="69"/>
      <c r="D137" s="60"/>
      <c r="E137" s="75"/>
      <c r="F137" s="105"/>
      <c r="G137" s="100"/>
      <c r="H137" s="94"/>
      <c r="I137" s="80"/>
      <c r="J137" s="81"/>
      <c r="K137" s="100"/>
      <c r="L137" s="94"/>
      <c r="M137" s="81"/>
      <c r="N137" s="100"/>
      <c r="O137" s="94"/>
      <c r="P137" s="81"/>
      <c r="Q137" s="44"/>
      <c r="R137" s="44"/>
    </row>
    <row r="138" spans="1:18" ht="15.75" customHeight="1" x14ac:dyDescent="0.35">
      <c r="A138" s="88"/>
      <c r="B138" s="74"/>
      <c r="C138" s="69"/>
      <c r="D138" s="60"/>
      <c r="E138" s="75"/>
      <c r="F138" s="105"/>
      <c r="G138" s="100"/>
      <c r="H138" s="94"/>
      <c r="I138" s="80"/>
      <c r="J138" s="81"/>
      <c r="K138" s="100"/>
      <c r="L138" s="94"/>
      <c r="M138" s="81"/>
      <c r="N138" s="100"/>
      <c r="O138" s="94"/>
      <c r="P138" s="81"/>
      <c r="Q138" s="44"/>
      <c r="R138" s="44"/>
    </row>
    <row r="139" spans="1:18" ht="15.75" customHeight="1" x14ac:dyDescent="0.35">
      <c r="A139" s="88"/>
      <c r="B139" s="74"/>
      <c r="C139" s="69"/>
      <c r="D139" s="60"/>
      <c r="E139" s="75"/>
      <c r="F139" s="105"/>
      <c r="G139" s="100"/>
      <c r="H139" s="94"/>
      <c r="I139" s="80"/>
      <c r="J139" s="81"/>
      <c r="K139" s="100"/>
      <c r="L139" s="94"/>
      <c r="M139" s="81"/>
      <c r="N139" s="100"/>
      <c r="O139" s="94"/>
      <c r="P139" s="81"/>
      <c r="Q139" s="44"/>
      <c r="R139" s="44"/>
    </row>
    <row r="140" spans="1:18" ht="15.75" customHeight="1" x14ac:dyDescent="0.35">
      <c r="A140" s="88"/>
      <c r="B140" s="74"/>
      <c r="C140" s="69"/>
      <c r="D140" s="60"/>
      <c r="E140" s="75"/>
      <c r="F140" s="105"/>
      <c r="G140" s="100"/>
      <c r="H140" s="94"/>
      <c r="I140" s="80"/>
      <c r="J140" s="81"/>
      <c r="K140" s="100"/>
      <c r="L140" s="94"/>
      <c r="M140" s="81"/>
      <c r="N140" s="100"/>
      <c r="O140" s="94"/>
      <c r="P140" s="81"/>
      <c r="Q140" s="44"/>
      <c r="R140" s="44"/>
    </row>
    <row r="141" spans="1:18" ht="15.75" customHeight="1" x14ac:dyDescent="0.35">
      <c r="A141" s="88"/>
      <c r="B141" s="74"/>
      <c r="C141" s="69"/>
      <c r="D141" s="60"/>
      <c r="E141" s="75"/>
      <c r="F141" s="105"/>
      <c r="G141" s="100"/>
      <c r="H141" s="94"/>
      <c r="I141" s="80"/>
      <c r="J141" s="81"/>
      <c r="K141" s="100"/>
      <c r="L141" s="94"/>
      <c r="M141" s="81"/>
      <c r="N141" s="100"/>
      <c r="O141" s="94"/>
      <c r="P141" s="81"/>
      <c r="Q141" s="44"/>
      <c r="R141" s="44"/>
    </row>
    <row r="142" spans="1:18" ht="15.75" customHeight="1" x14ac:dyDescent="0.35">
      <c r="A142" s="88"/>
      <c r="B142" s="74"/>
      <c r="C142" s="69"/>
      <c r="D142" s="60"/>
      <c r="E142" s="75"/>
      <c r="F142" s="105"/>
      <c r="G142" s="100"/>
      <c r="H142" s="94"/>
      <c r="I142" s="80"/>
      <c r="J142" s="81"/>
      <c r="K142" s="100"/>
      <c r="L142" s="94"/>
      <c r="M142" s="81"/>
      <c r="N142" s="100"/>
      <c r="O142" s="94"/>
      <c r="P142" s="81"/>
      <c r="Q142" s="44"/>
      <c r="R142" s="44"/>
    </row>
    <row r="143" spans="1:18" ht="15.75" customHeight="1" x14ac:dyDescent="0.35">
      <c r="A143" s="88"/>
      <c r="B143" s="74"/>
      <c r="C143" s="69"/>
      <c r="D143" s="60"/>
      <c r="E143" s="75"/>
      <c r="F143" s="105"/>
      <c r="G143" s="100"/>
      <c r="H143" s="94"/>
      <c r="I143" s="80"/>
      <c r="J143" s="81"/>
      <c r="K143" s="100"/>
      <c r="L143" s="94"/>
      <c r="M143" s="81"/>
      <c r="N143" s="100"/>
      <c r="O143" s="94"/>
      <c r="P143" s="81"/>
      <c r="Q143" s="44"/>
      <c r="R143" s="44"/>
    </row>
    <row r="144" spans="1:18" ht="15.75" customHeight="1" x14ac:dyDescent="0.35">
      <c r="A144" s="88"/>
      <c r="B144" s="74"/>
      <c r="C144" s="69"/>
      <c r="D144" s="60"/>
      <c r="E144" s="75"/>
      <c r="F144" s="105"/>
      <c r="G144" s="100"/>
      <c r="H144" s="94"/>
      <c r="I144" s="80"/>
      <c r="J144" s="81"/>
      <c r="K144" s="100"/>
      <c r="L144" s="94"/>
      <c r="M144" s="81"/>
      <c r="N144" s="100"/>
      <c r="O144" s="94"/>
      <c r="P144" s="81"/>
      <c r="Q144" s="44"/>
      <c r="R144" s="44"/>
    </row>
    <row r="145" spans="1:18" ht="15.75" customHeight="1" x14ac:dyDescent="0.35">
      <c r="A145" s="88"/>
      <c r="B145" s="74"/>
      <c r="C145" s="69"/>
      <c r="D145" s="60"/>
      <c r="E145" s="75"/>
      <c r="F145" s="105"/>
      <c r="G145" s="100"/>
      <c r="H145" s="94"/>
      <c r="I145" s="80"/>
      <c r="J145" s="81"/>
      <c r="K145" s="100"/>
      <c r="L145" s="94"/>
      <c r="M145" s="81"/>
      <c r="N145" s="100"/>
      <c r="O145" s="94"/>
      <c r="P145" s="81"/>
      <c r="Q145" s="44"/>
      <c r="R145" s="44"/>
    </row>
    <row r="146" spans="1:18" ht="15.75" customHeight="1" x14ac:dyDescent="0.35">
      <c r="A146" s="88"/>
      <c r="B146" s="74"/>
      <c r="C146" s="69"/>
      <c r="D146" s="60"/>
      <c r="E146" s="75"/>
      <c r="F146" s="105"/>
      <c r="G146" s="100"/>
      <c r="H146" s="94"/>
      <c r="I146" s="80"/>
      <c r="J146" s="81"/>
      <c r="K146" s="100"/>
      <c r="L146" s="94"/>
      <c r="M146" s="81"/>
      <c r="N146" s="100"/>
      <c r="O146" s="94"/>
      <c r="P146" s="81"/>
      <c r="Q146" s="44"/>
      <c r="R146" s="44"/>
    </row>
    <row r="147" spans="1:18" ht="15.75" customHeight="1" x14ac:dyDescent="0.35">
      <c r="A147" s="88"/>
      <c r="B147" s="74"/>
      <c r="C147" s="69"/>
      <c r="D147" s="60"/>
      <c r="E147" s="75"/>
      <c r="F147" s="105"/>
      <c r="G147" s="100"/>
      <c r="H147" s="94"/>
      <c r="I147" s="80"/>
      <c r="J147" s="81"/>
      <c r="K147" s="100"/>
      <c r="L147" s="94"/>
      <c r="M147" s="81"/>
      <c r="N147" s="100"/>
      <c r="O147" s="94"/>
      <c r="P147" s="81"/>
      <c r="Q147" s="44"/>
      <c r="R147" s="44"/>
    </row>
    <row r="148" spans="1:18" ht="15.75" customHeight="1" x14ac:dyDescent="0.35">
      <c r="A148" s="88"/>
      <c r="B148" s="74"/>
      <c r="C148" s="69"/>
      <c r="D148" s="60"/>
      <c r="E148" s="75"/>
      <c r="F148" s="105"/>
      <c r="G148" s="100"/>
      <c r="H148" s="94"/>
      <c r="I148" s="80"/>
      <c r="J148" s="81"/>
      <c r="K148" s="100"/>
      <c r="L148" s="94"/>
      <c r="M148" s="81"/>
      <c r="N148" s="100"/>
      <c r="O148" s="94"/>
      <c r="P148" s="81"/>
      <c r="Q148" s="44"/>
      <c r="R148" s="44"/>
    </row>
    <row r="149" spans="1:18" ht="15.75" customHeight="1" x14ac:dyDescent="0.35">
      <c r="A149" s="88"/>
      <c r="B149" s="74"/>
      <c r="C149" s="69"/>
      <c r="D149" s="60"/>
      <c r="E149" s="75"/>
      <c r="F149" s="105"/>
      <c r="G149" s="100"/>
      <c r="H149" s="94"/>
      <c r="I149" s="80"/>
      <c r="J149" s="81"/>
      <c r="K149" s="100"/>
      <c r="L149" s="94"/>
      <c r="M149" s="81"/>
      <c r="N149" s="100"/>
      <c r="O149" s="94"/>
      <c r="P149" s="81"/>
      <c r="Q149" s="44"/>
      <c r="R149" s="44"/>
    </row>
    <row r="150" spans="1:18" ht="15.75" customHeight="1" x14ac:dyDescent="0.35">
      <c r="A150" s="88"/>
      <c r="B150" s="74"/>
      <c r="C150" s="69"/>
      <c r="D150" s="60"/>
      <c r="E150" s="75"/>
      <c r="F150" s="105"/>
      <c r="G150" s="100"/>
      <c r="H150" s="94"/>
      <c r="I150" s="80"/>
      <c r="J150" s="81"/>
      <c r="K150" s="100"/>
      <c r="L150" s="94"/>
      <c r="M150" s="81"/>
      <c r="N150" s="100"/>
      <c r="O150" s="94"/>
      <c r="P150" s="81"/>
      <c r="Q150" s="44"/>
      <c r="R150" s="44"/>
    </row>
    <row r="151" spans="1:18" ht="15.75" customHeight="1" x14ac:dyDescent="0.35">
      <c r="A151" s="88"/>
      <c r="B151" s="74"/>
      <c r="C151" s="69"/>
      <c r="D151" s="60"/>
      <c r="E151" s="75"/>
      <c r="F151" s="105"/>
      <c r="G151" s="100"/>
      <c r="H151" s="94"/>
      <c r="I151" s="80"/>
      <c r="J151" s="81"/>
      <c r="K151" s="100"/>
      <c r="L151" s="94"/>
      <c r="M151" s="81"/>
      <c r="N151" s="100"/>
      <c r="O151" s="94"/>
      <c r="P151" s="81"/>
      <c r="Q151" s="44"/>
      <c r="R151" s="44"/>
    </row>
    <row r="152" spans="1:18" ht="15.75" customHeight="1" x14ac:dyDescent="0.35">
      <c r="A152" s="88"/>
      <c r="B152" s="74"/>
      <c r="C152" s="69"/>
      <c r="D152" s="60"/>
      <c r="E152" s="75"/>
      <c r="F152" s="105"/>
      <c r="G152" s="100"/>
      <c r="H152" s="94"/>
      <c r="I152" s="80"/>
      <c r="J152" s="81"/>
      <c r="K152" s="100"/>
      <c r="L152" s="94"/>
      <c r="M152" s="81"/>
      <c r="N152" s="100"/>
      <c r="O152" s="94"/>
      <c r="P152" s="81"/>
      <c r="Q152" s="44"/>
      <c r="R152" s="44"/>
    </row>
    <row r="153" spans="1:18" ht="15.75" customHeight="1" x14ac:dyDescent="0.35">
      <c r="A153" s="88"/>
      <c r="B153" s="74"/>
      <c r="C153" s="69"/>
      <c r="D153" s="60"/>
      <c r="E153" s="75"/>
      <c r="F153" s="105"/>
      <c r="G153" s="100"/>
      <c r="H153" s="94"/>
      <c r="I153" s="80"/>
      <c r="J153" s="81"/>
      <c r="K153" s="100"/>
      <c r="L153" s="94"/>
      <c r="M153" s="81"/>
      <c r="N153" s="100"/>
      <c r="O153" s="94"/>
      <c r="P153" s="81"/>
      <c r="Q153" s="44"/>
      <c r="R153" s="44"/>
    </row>
    <row r="154" spans="1:18" ht="15.75" customHeight="1" x14ac:dyDescent="0.35">
      <c r="A154" s="88"/>
      <c r="B154" s="74"/>
      <c r="C154" s="69"/>
      <c r="D154" s="60"/>
      <c r="E154" s="75"/>
      <c r="F154" s="105"/>
      <c r="G154" s="100"/>
      <c r="H154" s="94"/>
      <c r="I154" s="80"/>
      <c r="J154" s="81"/>
      <c r="K154" s="100"/>
      <c r="L154" s="94"/>
      <c r="M154" s="81"/>
      <c r="N154" s="100"/>
      <c r="O154" s="94"/>
      <c r="P154" s="81"/>
      <c r="Q154" s="44"/>
      <c r="R154" s="44"/>
    </row>
    <row r="155" spans="1:18" ht="15.75" customHeight="1" x14ac:dyDescent="0.35">
      <c r="A155" s="88"/>
      <c r="B155" s="74"/>
      <c r="C155" s="69"/>
      <c r="D155" s="60"/>
      <c r="E155" s="75"/>
      <c r="F155" s="105"/>
      <c r="G155" s="100"/>
      <c r="H155" s="94"/>
      <c r="I155" s="80"/>
      <c r="J155" s="81"/>
      <c r="K155" s="100"/>
      <c r="L155" s="94"/>
      <c r="M155" s="81"/>
      <c r="N155" s="100"/>
      <c r="O155" s="94"/>
      <c r="P155" s="81"/>
      <c r="Q155" s="44"/>
      <c r="R155" s="44"/>
    </row>
    <row r="156" spans="1:18" ht="15.75" customHeight="1" x14ac:dyDescent="0.35">
      <c r="A156" s="88"/>
      <c r="B156" s="74"/>
      <c r="C156" s="69"/>
      <c r="D156" s="60"/>
      <c r="E156" s="75"/>
      <c r="F156" s="105"/>
      <c r="G156" s="100"/>
      <c r="H156" s="94"/>
      <c r="I156" s="80"/>
      <c r="J156" s="81"/>
      <c r="K156" s="100"/>
      <c r="L156" s="94"/>
      <c r="M156" s="81"/>
      <c r="N156" s="100"/>
      <c r="O156" s="94"/>
      <c r="P156" s="81"/>
      <c r="Q156" s="44"/>
      <c r="R156" s="44"/>
    </row>
    <row r="8210" spans="21:21" x14ac:dyDescent="0.35">
      <c r="U8210" s="63"/>
    </row>
  </sheetData>
  <mergeCells count="4">
    <mergeCell ref="E3:O3"/>
    <mergeCell ref="A1:P2"/>
    <mergeCell ref="A3:D3"/>
    <mergeCell ref="A87:O87"/>
  </mergeCells>
  <phoneticPr fontId="13" type="noConversion"/>
  <conditionalFormatting sqref="A6:A53">
    <cfRule type="cellIs" dxfId="4" priority="24" stopIfTrue="1" operator="equal">
      <formula>0</formula>
    </cfRule>
  </conditionalFormatting>
  <conditionalFormatting sqref="A54 A56:A116">
    <cfRule type="cellIs" dxfId="3" priority="4" stopIfTrue="1" operator="equal">
      <formula>0</formula>
    </cfRule>
  </conditionalFormatting>
  <conditionalFormatting sqref="A55">
    <cfRule type="cellIs" dxfId="2" priority="3" stopIfTrue="1" operator="equal">
      <formula>0</formula>
    </cfRule>
  </conditionalFormatting>
  <conditionalFormatting sqref="A117:A127 A129:A156">
    <cfRule type="cellIs" dxfId="1" priority="2" stopIfTrue="1" operator="equal">
      <formula>0</formula>
    </cfRule>
  </conditionalFormatting>
  <conditionalFormatting sqref="A128">
    <cfRule type="cellIs" dxfId="0" priority="1" stopIfTrue="1" operator="equal">
      <formula>0</formula>
    </cfRule>
  </conditionalFormatting>
  <pageMargins left="0.7" right="0.7" top="0.75" bottom="0.75" header="0.3" footer="0.3"/>
  <pageSetup orientation="portrait" r:id="rId1"/>
  <headerFooter>
    <oddFooter>&amp;C&amp;1#&amp;"Calibri"&amp;6&amp;K737373Sensitivity: Internal (C3)</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B1:J74"/>
  <sheetViews>
    <sheetView showGridLines="0" workbookViewId="0">
      <selection activeCell="P9" sqref="P9"/>
    </sheetView>
  </sheetViews>
  <sheetFormatPr defaultColWidth="9.1796875" defaultRowHeight="10.5" x14ac:dyDescent="0.25"/>
  <cols>
    <col min="1" max="1" width="3.81640625" style="2" customWidth="1"/>
    <col min="2" max="2" width="9.81640625" style="2" customWidth="1"/>
    <col min="3" max="3" width="16.7265625" style="2" bestFit="1" customWidth="1"/>
    <col min="4" max="4" width="3" style="24" bestFit="1" customWidth="1"/>
    <col min="5" max="5" width="16.453125" style="24" bestFit="1" customWidth="1"/>
    <col min="6" max="6" width="10.7265625" style="24" customWidth="1"/>
    <col min="7" max="7" width="1.453125" style="16" customWidth="1"/>
    <col min="8" max="8" width="27.1796875" style="4" bestFit="1" customWidth="1"/>
    <col min="9" max="9" width="36.81640625" style="2" hidden="1" customWidth="1"/>
    <col min="10" max="10" width="19.1796875" style="2" hidden="1" customWidth="1"/>
    <col min="11" max="16384" width="9.1796875" style="2"/>
  </cols>
  <sheetData>
    <row r="1" spans="2:10" ht="11" thickBot="1" x14ac:dyDescent="0.3"/>
    <row r="2" spans="2:10" ht="11" thickBot="1" x14ac:dyDescent="0.3">
      <c r="B2" s="5" t="s">
        <v>22</v>
      </c>
      <c r="C2" s="6" t="s">
        <v>23</v>
      </c>
      <c r="D2" s="294" t="s">
        <v>24</v>
      </c>
      <c r="E2" s="295"/>
      <c r="F2" s="25" t="s">
        <v>10</v>
      </c>
      <c r="G2" s="26"/>
      <c r="H2" s="7" t="s">
        <v>16</v>
      </c>
      <c r="J2" s="8" t="s">
        <v>25</v>
      </c>
    </row>
    <row r="3" spans="2:10" x14ac:dyDescent="0.25">
      <c r="B3" s="9"/>
      <c r="C3" s="10" t="s">
        <v>87</v>
      </c>
      <c r="D3" s="296">
        <v>85</v>
      </c>
      <c r="E3" s="298" t="s">
        <v>26</v>
      </c>
      <c r="F3" s="15" t="s">
        <v>5</v>
      </c>
      <c r="H3" s="14" t="s">
        <v>27</v>
      </c>
      <c r="I3" s="2" t="str">
        <f>CONCATENATE(F3," - ",H3)</f>
        <v>A - Base to location move</v>
      </c>
      <c r="J3" s="8" t="s">
        <v>54</v>
      </c>
    </row>
    <row r="4" spans="2:10" x14ac:dyDescent="0.25">
      <c r="B4" s="9"/>
      <c r="C4" s="10" t="s">
        <v>88</v>
      </c>
      <c r="D4" s="297"/>
      <c r="E4" s="299"/>
      <c r="F4" s="15" t="s">
        <v>6</v>
      </c>
      <c r="H4" s="14" t="s">
        <v>28</v>
      </c>
      <c r="I4" s="2" t="str">
        <f t="shared" ref="I4:I48" si="0">CONCATENATE(F4," - ",H4)</f>
        <v>B - Inter pad/platform move</v>
      </c>
      <c r="J4" s="8" t="s">
        <v>55</v>
      </c>
    </row>
    <row r="5" spans="2:10" x14ac:dyDescent="0.25">
      <c r="B5" s="9" t="s">
        <v>8</v>
      </c>
      <c r="C5" s="10" t="s">
        <v>89</v>
      </c>
      <c r="D5" s="297"/>
      <c r="E5" s="299"/>
      <c r="F5" s="15" t="s">
        <v>21</v>
      </c>
      <c r="H5" s="14" t="s">
        <v>29</v>
      </c>
      <c r="I5" s="2" t="str">
        <f t="shared" si="0"/>
        <v>C - Inter-well move</v>
      </c>
      <c r="J5" s="8" t="s">
        <v>57</v>
      </c>
    </row>
    <row r="6" spans="2:10" x14ac:dyDescent="0.25">
      <c r="B6" s="9"/>
      <c r="C6" s="10"/>
      <c r="D6" s="297"/>
      <c r="E6" s="299"/>
      <c r="F6" s="15" t="s">
        <v>30</v>
      </c>
      <c r="H6" s="14" t="s">
        <v>58</v>
      </c>
      <c r="I6" s="2" t="str">
        <f t="shared" si="0"/>
        <v>D - Offload/Spot</v>
      </c>
      <c r="J6" s="8" t="s">
        <v>56</v>
      </c>
    </row>
    <row r="7" spans="2:10" x14ac:dyDescent="0.25">
      <c r="B7" s="9"/>
      <c r="C7" s="10"/>
      <c r="D7" s="297"/>
      <c r="E7" s="299"/>
      <c r="F7" s="15" t="s">
        <v>31</v>
      </c>
      <c r="H7" s="14" t="s">
        <v>59</v>
      </c>
      <c r="I7" s="2" t="str">
        <f t="shared" si="0"/>
        <v>E - Packup/Load back</v>
      </c>
      <c r="J7" s="8" t="s">
        <v>60</v>
      </c>
    </row>
    <row r="8" spans="2:10" ht="11" thickBot="1" x14ac:dyDescent="0.3">
      <c r="B8" s="9"/>
      <c r="C8" s="10"/>
      <c r="D8" s="297"/>
      <c r="E8" s="299"/>
      <c r="F8" s="15" t="s">
        <v>32</v>
      </c>
      <c r="H8" s="14" t="s">
        <v>61</v>
      </c>
      <c r="I8" s="2" t="str">
        <f t="shared" si="0"/>
        <v>F - Well Handover</v>
      </c>
      <c r="J8" s="8" t="s">
        <v>62</v>
      </c>
    </row>
    <row r="9" spans="2:10" x14ac:dyDescent="0.25">
      <c r="B9" s="9"/>
      <c r="C9" s="10"/>
      <c r="D9" s="296">
        <v>86</v>
      </c>
      <c r="E9" s="298" t="s">
        <v>34</v>
      </c>
      <c r="F9" s="27" t="s">
        <v>5</v>
      </c>
      <c r="H9" s="13" t="s">
        <v>14</v>
      </c>
      <c r="I9" s="2" t="str">
        <f t="shared" si="0"/>
        <v>A - Rig up</v>
      </c>
    </row>
    <row r="10" spans="2:10" x14ac:dyDescent="0.25">
      <c r="B10" s="9"/>
      <c r="C10" s="10"/>
      <c r="D10" s="297"/>
      <c r="E10" s="299"/>
      <c r="F10" s="15" t="s">
        <v>6</v>
      </c>
      <c r="H10" s="14" t="s">
        <v>35</v>
      </c>
      <c r="I10" s="2" t="str">
        <f t="shared" si="0"/>
        <v>B - Pressure test</v>
      </c>
    </row>
    <row r="11" spans="2:10" x14ac:dyDescent="0.25">
      <c r="B11" s="9"/>
      <c r="C11" s="10"/>
      <c r="D11" s="297"/>
      <c r="E11" s="299"/>
      <c r="F11" s="15" t="s">
        <v>21</v>
      </c>
      <c r="H11" s="14" t="s">
        <v>63</v>
      </c>
      <c r="I11" s="2" t="str">
        <f t="shared" si="0"/>
        <v>C - Prejob/Function Test</v>
      </c>
    </row>
    <row r="12" spans="2:10" x14ac:dyDescent="0.25">
      <c r="B12" s="9"/>
      <c r="C12" s="10"/>
      <c r="D12" s="297"/>
      <c r="E12" s="299"/>
      <c r="F12" s="15" t="s">
        <v>30</v>
      </c>
      <c r="H12" s="14" t="s">
        <v>36</v>
      </c>
      <c r="I12" s="2" t="str">
        <f t="shared" si="0"/>
        <v>D - Rig down</v>
      </c>
    </row>
    <row r="13" spans="2:10" x14ac:dyDescent="0.25">
      <c r="B13" s="11"/>
      <c r="C13" s="12"/>
      <c r="D13" s="297"/>
      <c r="E13" s="299"/>
      <c r="F13" s="15" t="s">
        <v>31</v>
      </c>
      <c r="H13" s="14" t="s">
        <v>64</v>
      </c>
      <c r="I13" s="2" t="str">
        <f t="shared" si="0"/>
        <v>E - Preparation</v>
      </c>
    </row>
    <row r="14" spans="2:10" ht="11" thickBot="1" x14ac:dyDescent="0.3">
      <c r="B14" s="11"/>
      <c r="C14" s="12"/>
      <c r="D14" s="300"/>
      <c r="E14" s="301"/>
      <c r="F14" s="15" t="s">
        <v>32</v>
      </c>
      <c r="H14" s="14" t="s">
        <v>37</v>
      </c>
      <c r="I14" s="2" t="str">
        <f t="shared" si="0"/>
        <v>F - Others</v>
      </c>
    </row>
    <row r="15" spans="2:10" x14ac:dyDescent="0.25">
      <c r="B15" s="11"/>
      <c r="C15" s="12"/>
      <c r="D15" s="290">
        <v>24</v>
      </c>
      <c r="E15" s="291" t="s">
        <v>38</v>
      </c>
      <c r="F15" s="27" t="s">
        <v>5</v>
      </c>
      <c r="H15" s="13" t="s">
        <v>65</v>
      </c>
      <c r="I15" s="2" t="str">
        <f t="shared" si="0"/>
        <v>A - WAIT ON OPERATOR</v>
      </c>
    </row>
    <row r="16" spans="2:10" x14ac:dyDescent="0.25">
      <c r="B16" s="11"/>
      <c r="C16" s="12"/>
      <c r="D16" s="286"/>
      <c r="E16" s="288"/>
      <c r="F16" s="15" t="s">
        <v>6</v>
      </c>
      <c r="H16" s="14" t="s">
        <v>66</v>
      </c>
      <c r="I16" s="2" t="str">
        <f t="shared" si="0"/>
        <v>B - WAITING ON CHEMICALS</v>
      </c>
    </row>
    <row r="17" spans="2:9" x14ac:dyDescent="0.25">
      <c r="B17" s="11"/>
      <c r="C17" s="12"/>
      <c r="D17" s="286"/>
      <c r="E17" s="288"/>
      <c r="F17" s="15" t="s">
        <v>21</v>
      </c>
      <c r="H17" s="14"/>
      <c r="I17" s="2" t="str">
        <f t="shared" si="0"/>
        <v xml:space="preserve">C - </v>
      </c>
    </row>
    <row r="18" spans="2:9" x14ac:dyDescent="0.25">
      <c r="B18" s="11"/>
      <c r="C18" s="12"/>
      <c r="D18" s="286"/>
      <c r="E18" s="288"/>
      <c r="F18" s="15" t="s">
        <v>30</v>
      </c>
      <c r="H18" s="14" t="s">
        <v>39</v>
      </c>
      <c r="I18" s="2" t="str">
        <f t="shared" si="0"/>
        <v>D - OTHERS</v>
      </c>
    </row>
    <row r="19" spans="2:9" x14ac:dyDescent="0.25">
      <c r="B19" s="11"/>
      <c r="C19" s="12"/>
      <c r="D19" s="286"/>
      <c r="E19" s="288"/>
      <c r="F19" s="15" t="s">
        <v>31</v>
      </c>
      <c r="H19" s="14" t="s">
        <v>67</v>
      </c>
      <c r="I19" s="2" t="str">
        <f t="shared" si="0"/>
        <v>E - WAIT ON WEATHER</v>
      </c>
    </row>
    <row r="20" spans="2:9" x14ac:dyDescent="0.25">
      <c r="B20" s="11"/>
      <c r="C20" s="12"/>
      <c r="D20" s="286"/>
      <c r="E20" s="288"/>
      <c r="F20" s="15" t="s">
        <v>32</v>
      </c>
      <c r="H20" s="14" t="s">
        <v>68</v>
      </c>
      <c r="I20" s="2" t="str">
        <f t="shared" si="0"/>
        <v>F - WAIT ON WORK PERMIT</v>
      </c>
    </row>
    <row r="21" spans="2:9" x14ac:dyDescent="0.25">
      <c r="B21" s="11"/>
      <c r="C21" s="12"/>
      <c r="D21" s="286"/>
      <c r="E21" s="288"/>
      <c r="F21" s="15" t="s">
        <v>33</v>
      </c>
      <c r="H21" s="14" t="s">
        <v>69</v>
      </c>
      <c r="I21" s="2" t="str">
        <f t="shared" si="0"/>
        <v>G - WAIT ON SUPPORT SERVICES</v>
      </c>
    </row>
    <row r="22" spans="2:9" x14ac:dyDescent="0.25">
      <c r="B22" s="11"/>
      <c r="C22" s="12"/>
      <c r="D22" s="286"/>
      <c r="E22" s="288"/>
      <c r="F22" s="15" t="s">
        <v>20</v>
      </c>
      <c r="H22" s="14" t="s">
        <v>70</v>
      </c>
      <c r="I22" s="2" t="str">
        <f t="shared" si="0"/>
        <v>H - WAIT ON RIG</v>
      </c>
    </row>
    <row r="23" spans="2:9" x14ac:dyDescent="0.25">
      <c r="B23" s="11"/>
      <c r="C23" s="12"/>
      <c r="D23" s="286"/>
      <c r="E23" s="288"/>
      <c r="F23" s="15" t="s">
        <v>40</v>
      </c>
      <c r="H23" s="14" t="s">
        <v>71</v>
      </c>
      <c r="I23" s="2" t="str">
        <f t="shared" si="0"/>
        <v>I - WAIT ON FRAC</v>
      </c>
    </row>
    <row r="24" spans="2:9" x14ac:dyDescent="0.25">
      <c r="B24" s="11"/>
      <c r="C24" s="12"/>
      <c r="D24" s="286"/>
      <c r="E24" s="288"/>
      <c r="F24" s="15" t="s">
        <v>41</v>
      </c>
      <c r="H24" s="14" t="s">
        <v>72</v>
      </c>
      <c r="I24" s="2" t="str">
        <f t="shared" si="0"/>
        <v>J - WAIT ON SLICKLINE</v>
      </c>
    </row>
    <row r="25" spans="2:9" x14ac:dyDescent="0.25">
      <c r="B25" s="11"/>
      <c r="C25" s="12"/>
      <c r="D25" s="286"/>
      <c r="E25" s="288"/>
      <c r="F25" s="15" t="s">
        <v>17</v>
      </c>
      <c r="H25" s="14" t="s">
        <v>73</v>
      </c>
      <c r="I25" s="2" t="str">
        <f t="shared" si="0"/>
        <v>K - WAIT ON ELINE</v>
      </c>
    </row>
    <row r="26" spans="2:9" x14ac:dyDescent="0.25">
      <c r="B26" s="11"/>
      <c r="C26" s="12"/>
      <c r="D26" s="286"/>
      <c r="E26" s="288"/>
      <c r="F26" s="15" t="s">
        <v>42</v>
      </c>
      <c r="H26" s="14" t="s">
        <v>74</v>
      </c>
      <c r="I26" s="2" t="str">
        <f t="shared" si="0"/>
        <v>L - WAIT ON SWT</v>
      </c>
    </row>
    <row r="27" spans="2:9" x14ac:dyDescent="0.25">
      <c r="B27" s="11"/>
      <c r="C27" s="12"/>
      <c r="D27" s="286"/>
      <c r="E27" s="288"/>
      <c r="F27" s="15" t="s">
        <v>19</v>
      </c>
      <c r="H27" s="14" t="s">
        <v>75</v>
      </c>
      <c r="I27" s="2" t="str">
        <f t="shared" si="0"/>
        <v>M - WAIT ON WELL INTEGRITY</v>
      </c>
    </row>
    <row r="28" spans="2:9" x14ac:dyDescent="0.25">
      <c r="B28" s="11"/>
      <c r="C28" s="12"/>
      <c r="D28" s="286"/>
      <c r="E28" s="288"/>
      <c r="F28" s="15" t="s">
        <v>43</v>
      </c>
      <c r="H28" s="14" t="s">
        <v>76</v>
      </c>
      <c r="I28" s="2" t="str">
        <f t="shared" si="0"/>
        <v>N - WAIT ON PUMPING</v>
      </c>
    </row>
    <row r="29" spans="2:9" x14ac:dyDescent="0.25">
      <c r="B29" s="11"/>
      <c r="C29" s="12"/>
      <c r="D29" s="286"/>
      <c r="E29" s="288"/>
      <c r="F29" s="15" t="s">
        <v>11</v>
      </c>
      <c r="H29" s="14" t="s">
        <v>77</v>
      </c>
      <c r="I29" s="2" t="str">
        <f t="shared" si="0"/>
        <v>O - WAIT ON CTU</v>
      </c>
    </row>
    <row r="30" spans="2:9" x14ac:dyDescent="0.25">
      <c r="B30" s="11"/>
      <c r="C30" s="12"/>
      <c r="D30" s="286"/>
      <c r="E30" s="288"/>
      <c r="F30" s="15" t="s">
        <v>7</v>
      </c>
      <c r="H30" s="14" t="s">
        <v>78</v>
      </c>
      <c r="I30" s="2" t="str">
        <f t="shared" si="0"/>
        <v>P - WAIT FOR WASTE PIT</v>
      </c>
    </row>
    <row r="31" spans="2:9" x14ac:dyDescent="0.25">
      <c r="B31" s="11"/>
      <c r="C31" s="12"/>
      <c r="D31" s="286"/>
      <c r="E31" s="288"/>
      <c r="F31" s="15" t="s">
        <v>44</v>
      </c>
      <c r="H31" s="14" t="s">
        <v>79</v>
      </c>
      <c r="I31" s="2" t="str">
        <f t="shared" si="0"/>
        <v>Q - WAIT ON PROGRAM/DECISION</v>
      </c>
    </row>
    <row r="32" spans="2:9" x14ac:dyDescent="0.25">
      <c r="B32" s="11"/>
      <c r="C32" s="12"/>
      <c r="D32" s="286"/>
      <c r="E32" s="288"/>
      <c r="F32" s="15" t="s">
        <v>13</v>
      </c>
      <c r="H32" s="14" t="s">
        <v>80</v>
      </c>
      <c r="I32" s="2" t="str">
        <f t="shared" si="0"/>
        <v>R - WAIT ON LOCAL ISSUES</v>
      </c>
    </row>
    <row r="33" spans="2:9" ht="11" thickBot="1" x14ac:dyDescent="0.3">
      <c r="B33" s="11"/>
      <c r="C33" s="12"/>
      <c r="D33" s="286"/>
      <c r="E33" s="288"/>
      <c r="F33" s="18" t="s">
        <v>12</v>
      </c>
      <c r="H33" s="23" t="s">
        <v>81</v>
      </c>
      <c r="I33" s="2" t="str">
        <f t="shared" si="0"/>
        <v>S - WAIT ON EQUIP FAILURE/MAINTENANCE</v>
      </c>
    </row>
    <row r="34" spans="2:9" x14ac:dyDescent="0.25">
      <c r="B34" s="11"/>
      <c r="C34" s="12"/>
      <c r="D34" s="290">
        <v>87</v>
      </c>
      <c r="E34" s="291" t="s">
        <v>15</v>
      </c>
      <c r="F34" s="27" t="s">
        <v>21</v>
      </c>
      <c r="H34" s="13" t="s">
        <v>82</v>
      </c>
      <c r="I34" s="2" t="str">
        <f>CONCATENATE(F34," - ",H34)</f>
        <v>C - Cleanout</v>
      </c>
    </row>
    <row r="35" spans="2:9" x14ac:dyDescent="0.25">
      <c r="B35" s="11"/>
      <c r="C35" s="12"/>
      <c r="D35" s="286"/>
      <c r="E35" s="288"/>
      <c r="F35" s="15" t="s">
        <v>30</v>
      </c>
      <c r="H35" s="14" t="s">
        <v>18</v>
      </c>
      <c r="I35" s="2" t="str">
        <f>CONCATENATE(F35," - ",H35)</f>
        <v>D - Flushing</v>
      </c>
    </row>
    <row r="36" spans="2:9" x14ac:dyDescent="0.25">
      <c r="B36" s="11"/>
      <c r="C36" s="12"/>
      <c r="D36" s="286"/>
      <c r="E36" s="288"/>
      <c r="F36" s="15" t="s">
        <v>32</v>
      </c>
      <c r="H36" s="14" t="s">
        <v>83</v>
      </c>
      <c r="I36" s="2" t="str">
        <f t="shared" si="0"/>
        <v>F - Flowback (N2)</v>
      </c>
    </row>
    <row r="37" spans="2:9" x14ac:dyDescent="0.25">
      <c r="B37" s="11"/>
      <c r="C37" s="12"/>
      <c r="D37" s="286"/>
      <c r="E37" s="288"/>
      <c r="F37" s="15" t="s">
        <v>33</v>
      </c>
      <c r="H37" s="14" t="s">
        <v>84</v>
      </c>
      <c r="I37" s="2" t="str">
        <f t="shared" si="0"/>
        <v>G - Flowback (self)</v>
      </c>
    </row>
    <row r="38" spans="2:9" x14ac:dyDescent="0.25">
      <c r="B38" s="11"/>
      <c r="C38" s="12"/>
      <c r="D38" s="286"/>
      <c r="E38" s="288"/>
      <c r="F38" s="15" t="s">
        <v>20</v>
      </c>
      <c r="H38" s="14" t="s">
        <v>49</v>
      </c>
      <c r="I38" s="2" t="str">
        <f t="shared" si="0"/>
        <v>H - Header pumping</v>
      </c>
    </row>
    <row r="39" spans="2:9" x14ac:dyDescent="0.25">
      <c r="B39" s="11"/>
      <c r="C39" s="12"/>
      <c r="D39" s="286"/>
      <c r="E39" s="288"/>
      <c r="F39" s="15" t="s">
        <v>41</v>
      </c>
      <c r="H39" s="14" t="s">
        <v>85</v>
      </c>
      <c r="I39" s="2" t="str">
        <f t="shared" si="0"/>
        <v>J - JP flowback</v>
      </c>
    </row>
    <row r="40" spans="2:9" x14ac:dyDescent="0.25">
      <c r="B40" s="11"/>
      <c r="C40" s="12"/>
      <c r="D40" s="286"/>
      <c r="E40" s="288"/>
      <c r="F40" s="15" t="s">
        <v>19</v>
      </c>
      <c r="H40" s="14" t="s">
        <v>51</v>
      </c>
      <c r="I40" s="2" t="str">
        <f t="shared" si="0"/>
        <v>M - Milling</v>
      </c>
    </row>
    <row r="41" spans="2:9" x14ac:dyDescent="0.25">
      <c r="B41" s="11"/>
      <c r="C41" s="12"/>
      <c r="D41" s="286"/>
      <c r="E41" s="288"/>
      <c r="F41" s="15" t="s">
        <v>11</v>
      </c>
      <c r="H41" s="14" t="s">
        <v>37</v>
      </c>
      <c r="I41" s="2" t="str">
        <f t="shared" si="0"/>
        <v>O - Others</v>
      </c>
    </row>
    <row r="42" spans="2:9" x14ac:dyDescent="0.25">
      <c r="B42" s="11"/>
      <c r="C42" s="12"/>
      <c r="D42" s="286"/>
      <c r="E42" s="288"/>
      <c r="F42" s="15" t="s">
        <v>7</v>
      </c>
      <c r="H42" s="14" t="s">
        <v>50</v>
      </c>
      <c r="I42" s="2" t="str">
        <f t="shared" si="0"/>
        <v>P - Post stimulation</v>
      </c>
    </row>
    <row r="43" spans="2:9" x14ac:dyDescent="0.25">
      <c r="B43" s="11"/>
      <c r="C43" s="12"/>
      <c r="D43" s="286"/>
      <c r="E43" s="288"/>
      <c r="F43" s="15" t="s">
        <v>13</v>
      </c>
      <c r="H43" s="14" t="s">
        <v>48</v>
      </c>
      <c r="I43" s="2" t="str">
        <f t="shared" si="0"/>
        <v>R - Rate verification</v>
      </c>
    </row>
    <row r="44" spans="2:9" ht="11" thickBot="1" x14ac:dyDescent="0.3">
      <c r="B44" s="11"/>
      <c r="C44" s="12"/>
      <c r="D44" s="286"/>
      <c r="E44" s="288"/>
      <c r="F44" s="15" t="s">
        <v>12</v>
      </c>
      <c r="H44" s="14" t="s">
        <v>86</v>
      </c>
      <c r="I44" s="2" t="str">
        <f t="shared" si="0"/>
        <v>S - Surface well testing</v>
      </c>
    </row>
    <row r="45" spans="2:9" x14ac:dyDescent="0.25">
      <c r="B45" s="11"/>
      <c r="C45" s="12"/>
      <c r="D45" s="290">
        <v>88</v>
      </c>
      <c r="E45" s="292" t="s">
        <v>45</v>
      </c>
      <c r="F45" s="27" t="s">
        <v>5</v>
      </c>
      <c r="H45" s="22" t="s">
        <v>46</v>
      </c>
      <c r="I45" s="2" t="str">
        <f t="shared" si="0"/>
        <v>A - Safety Meeting</v>
      </c>
    </row>
    <row r="46" spans="2:9" ht="11" thickBot="1" x14ac:dyDescent="0.3">
      <c r="B46" s="11"/>
      <c r="C46" s="12"/>
      <c r="D46" s="287"/>
      <c r="E46" s="293"/>
      <c r="F46" s="18" t="s">
        <v>6</v>
      </c>
      <c r="H46" s="19" t="s">
        <v>47</v>
      </c>
      <c r="I46" s="2" t="str">
        <f t="shared" si="0"/>
        <v>B - Safety Drill</v>
      </c>
    </row>
    <row r="47" spans="2:9" x14ac:dyDescent="0.25">
      <c r="B47" s="11"/>
      <c r="C47" s="12"/>
      <c r="D47" s="286">
        <v>89</v>
      </c>
      <c r="E47" s="288" t="s">
        <v>52</v>
      </c>
      <c r="F47" s="15" t="s">
        <v>5</v>
      </c>
      <c r="H47" s="17" t="s">
        <v>53</v>
      </c>
      <c r="I47" s="2" t="str">
        <f t="shared" si="0"/>
        <v>A - Fishing</v>
      </c>
    </row>
    <row r="48" spans="2:9" ht="11" thickBot="1" x14ac:dyDescent="0.3">
      <c r="B48" s="20"/>
      <c r="C48" s="21"/>
      <c r="D48" s="287"/>
      <c r="E48" s="289"/>
      <c r="F48" s="18" t="s">
        <v>6</v>
      </c>
      <c r="H48" s="19" t="s">
        <v>37</v>
      </c>
      <c r="I48" s="2" t="str">
        <f t="shared" si="0"/>
        <v>B - Others</v>
      </c>
    </row>
    <row r="49" spans="2:5" x14ac:dyDescent="0.25">
      <c r="B49" s="3"/>
      <c r="C49" s="3"/>
    </row>
    <row r="50" spans="2:5" x14ac:dyDescent="0.25">
      <c r="B50" s="3"/>
      <c r="C50" s="3"/>
    </row>
    <row r="51" spans="2:5" x14ac:dyDescent="0.25">
      <c r="B51" s="3"/>
      <c r="C51" s="3"/>
      <c r="D51" s="28"/>
      <c r="E51" s="28"/>
    </row>
    <row r="52" spans="2:5" x14ac:dyDescent="0.25">
      <c r="B52" s="3"/>
      <c r="C52" s="3"/>
    </row>
    <row r="53" spans="2:5" x14ac:dyDescent="0.25">
      <c r="B53" s="3"/>
      <c r="C53" s="3"/>
    </row>
    <row r="54" spans="2:5" x14ac:dyDescent="0.25">
      <c r="B54" s="3"/>
      <c r="C54" s="3"/>
    </row>
    <row r="55" spans="2:5" x14ac:dyDescent="0.25">
      <c r="B55" s="3"/>
      <c r="C55" s="3"/>
    </row>
    <row r="56" spans="2:5" x14ac:dyDescent="0.25">
      <c r="B56" s="3"/>
      <c r="C56" s="3"/>
    </row>
    <row r="57" spans="2:5" x14ac:dyDescent="0.25">
      <c r="B57" s="3"/>
      <c r="C57" s="3"/>
    </row>
    <row r="58" spans="2:5" x14ac:dyDescent="0.25">
      <c r="B58" s="3"/>
      <c r="C58" s="3"/>
    </row>
    <row r="59" spans="2:5" x14ac:dyDescent="0.25">
      <c r="B59" s="3"/>
      <c r="C59" s="3"/>
    </row>
    <row r="60" spans="2:5" x14ac:dyDescent="0.25">
      <c r="B60" s="3"/>
      <c r="C60" s="3"/>
    </row>
    <row r="61" spans="2:5" x14ac:dyDescent="0.25">
      <c r="B61" s="3"/>
      <c r="C61" s="3"/>
    </row>
    <row r="62" spans="2:5" x14ac:dyDescent="0.25">
      <c r="B62" s="3"/>
      <c r="C62" s="3"/>
    </row>
    <row r="63" spans="2:5" x14ac:dyDescent="0.25">
      <c r="B63" s="3"/>
      <c r="C63" s="3"/>
    </row>
    <row r="64" spans="2:5" x14ac:dyDescent="0.25">
      <c r="B64" s="3"/>
      <c r="C64" s="3"/>
    </row>
    <row r="65" spans="2:3" x14ac:dyDescent="0.25">
      <c r="B65" s="3"/>
      <c r="C65" s="3"/>
    </row>
    <row r="66" spans="2:3" x14ac:dyDescent="0.25">
      <c r="B66" s="3"/>
      <c r="C66" s="3"/>
    </row>
    <row r="67" spans="2:3" x14ac:dyDescent="0.25">
      <c r="B67" s="3"/>
      <c r="C67" s="3"/>
    </row>
    <row r="68" spans="2:3" x14ac:dyDescent="0.25">
      <c r="B68" s="3"/>
      <c r="C68" s="3"/>
    </row>
    <row r="69" spans="2:3" x14ac:dyDescent="0.25">
      <c r="B69" s="3"/>
      <c r="C69" s="3"/>
    </row>
    <row r="70" spans="2:3" x14ac:dyDescent="0.25">
      <c r="B70" s="3"/>
      <c r="C70" s="3"/>
    </row>
    <row r="71" spans="2:3" x14ac:dyDescent="0.25">
      <c r="B71" s="3"/>
      <c r="C71" s="3"/>
    </row>
    <row r="72" spans="2:3" x14ac:dyDescent="0.25">
      <c r="B72" s="3"/>
      <c r="C72" s="3"/>
    </row>
    <row r="73" spans="2:3" x14ac:dyDescent="0.25">
      <c r="B73" s="3"/>
      <c r="C73" s="3"/>
    </row>
    <row r="74" spans="2:3" x14ac:dyDescent="0.25">
      <c r="B74" s="3"/>
      <c r="C74" s="3"/>
    </row>
  </sheetData>
  <sheetProtection algorithmName="SHA-512" hashValue="Ns1gr4PSCrtBOqDZtem/rFBogYikRLmu8aAmBZcjwEQ5sZBQDIu0eE54XSW7O9vIgD5jWQhSiJQRg/94xvaIYQ==" saltValue="vTo69Wd3lA2N9TaEwudfpw==" spinCount="100000" sheet="1" objects="1" scenarios="1"/>
  <mergeCells count="13">
    <mergeCell ref="D2:E2"/>
    <mergeCell ref="D3:D8"/>
    <mergeCell ref="E3:E8"/>
    <mergeCell ref="D9:D14"/>
    <mergeCell ref="E9:E14"/>
    <mergeCell ref="D47:D48"/>
    <mergeCell ref="E47:E48"/>
    <mergeCell ref="D15:D33"/>
    <mergeCell ref="E15:E33"/>
    <mergeCell ref="D34:D44"/>
    <mergeCell ref="E34:E44"/>
    <mergeCell ref="D45:D46"/>
    <mergeCell ref="E45:E46"/>
  </mergeCells>
  <pageMargins left="0.7" right="0.7" top="0.75" bottom="0.75" header="0.3" footer="0.3"/>
  <pageSetup paperSize="9" orientation="portrait" r:id="rId1"/>
  <headerFooter>
    <oddFooter>&amp;C&amp;1#&amp;"Calibri"&amp;6&amp;K737373Sensitivity: Internal (C3)</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OW-Update</vt:lpstr>
      <vt:lpstr>Data Sheet</vt:lpstr>
      <vt:lpstr>Sheet1</vt:lpstr>
      <vt:lpstr>surge tank.</vt:lpstr>
      <vt:lpstr>Surge Tank</vt:lpstr>
      <vt:lpstr>Legand</vt:lpstr>
      <vt:lpstr>CodeList</vt:lpstr>
      <vt:lpstr>List24</vt:lpstr>
      <vt:lpstr>List85</vt:lpstr>
      <vt:lpstr>List86</vt:lpstr>
      <vt:lpstr>List87</vt:lpstr>
      <vt:lpstr>List88</vt:lpstr>
      <vt:lpstr>List89</vt:lpstr>
      <vt:lpstr>'Data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Sudhanshu Jangid (Frontier International)</dc:creator>
  <cp:lastModifiedBy>Joshi Nitin</cp:lastModifiedBy>
  <cp:lastPrinted>2022-09-16T07:43:12Z</cp:lastPrinted>
  <dcterms:created xsi:type="dcterms:W3CDTF">2014-11-10T11:20:01Z</dcterms:created>
  <dcterms:modified xsi:type="dcterms:W3CDTF">2025-05-06T12:24:33Z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850804</vt:lpwstr>
  </property>
  <property fmtid="{D5CDD505-2E9C-101B-9397-08002B2CF9AE}" pid="3" name="NXPowerLiteSettings">
    <vt:lpwstr>F7000400038000</vt:lpwstr>
  </property>
  <property fmtid="{D5CDD505-2E9C-101B-9397-08002B2CF9AE}" pid="4" name="NXPowerLiteVersion">
    <vt:lpwstr>D5.0.3</vt:lpwstr>
  </property>
  <property fmtid="{D5CDD505-2E9C-101B-9397-08002B2CF9AE}" pid="5" name="MSIP_Label_d8018b01-d6ca-4215-a70f-0f507ff65fa4_Enabled">
    <vt:lpwstr>True</vt:lpwstr>
  </property>
  <property fmtid="{D5CDD505-2E9C-101B-9397-08002B2CF9AE}" pid="6" name="MSIP_Label_d8018b01-d6ca-4215-a70f-0f507ff65fa4_SiteId">
    <vt:lpwstr>4273e6e9-aed1-40ab-83a3-85e0d43de705</vt:lpwstr>
  </property>
  <property fmtid="{D5CDD505-2E9C-101B-9397-08002B2CF9AE}" pid="7" name="MSIP_Label_d8018b01-d6ca-4215-a70f-0f507ff65fa4_Owner">
    <vt:lpwstr>700000104@cairnindia.com</vt:lpwstr>
  </property>
  <property fmtid="{D5CDD505-2E9C-101B-9397-08002B2CF9AE}" pid="8" name="MSIP_Label_d8018b01-d6ca-4215-a70f-0f507ff65fa4_SetDate">
    <vt:lpwstr>2022-05-04T07:30:16.3450020Z</vt:lpwstr>
  </property>
  <property fmtid="{D5CDD505-2E9C-101B-9397-08002B2CF9AE}" pid="9" name="MSIP_Label_d8018b01-d6ca-4215-a70f-0f507ff65fa4_Name">
    <vt:lpwstr>Internal (C3)</vt:lpwstr>
  </property>
  <property fmtid="{D5CDD505-2E9C-101B-9397-08002B2CF9AE}" pid="10" name="MSIP_Label_d8018b01-d6ca-4215-a70f-0f507ff65fa4_Application">
    <vt:lpwstr>Microsoft Azure Information Protection</vt:lpwstr>
  </property>
  <property fmtid="{D5CDD505-2E9C-101B-9397-08002B2CF9AE}" pid="11" name="MSIP_Label_d8018b01-d6ca-4215-a70f-0f507ff65fa4_ActionId">
    <vt:lpwstr>4453c80c-4163-45dd-b891-783b6277ff24</vt:lpwstr>
  </property>
  <property fmtid="{D5CDD505-2E9C-101B-9397-08002B2CF9AE}" pid="12" name="MSIP_Label_d8018b01-d6ca-4215-a70f-0f507ff65fa4_Extended_MSFT_Method">
    <vt:lpwstr>Automatic</vt:lpwstr>
  </property>
  <property fmtid="{D5CDD505-2E9C-101B-9397-08002B2CF9AE}" pid="13" name="MSIP_Label_1a837f0f-bc33-47ca-8126-9d7bb0fbe56f_Enabled">
    <vt:lpwstr>True</vt:lpwstr>
  </property>
  <property fmtid="{D5CDD505-2E9C-101B-9397-08002B2CF9AE}" pid="14" name="MSIP_Label_1a837f0f-bc33-47ca-8126-9d7bb0fbe56f_SiteId">
    <vt:lpwstr>4273e6e9-aed1-40ab-83a3-85e0d43de705</vt:lpwstr>
  </property>
  <property fmtid="{D5CDD505-2E9C-101B-9397-08002B2CF9AE}" pid="15" name="MSIP_Label_1a837f0f-bc33-47ca-8126-9d7bb0fbe56f_Owner">
    <vt:lpwstr>700000104@cairnindia.com</vt:lpwstr>
  </property>
  <property fmtid="{D5CDD505-2E9C-101B-9397-08002B2CF9AE}" pid="16" name="MSIP_Label_1a837f0f-bc33-47ca-8126-9d7bb0fbe56f_SetDate">
    <vt:lpwstr>2022-05-04T07:30:16.3450020Z</vt:lpwstr>
  </property>
  <property fmtid="{D5CDD505-2E9C-101B-9397-08002B2CF9AE}" pid="17" name="MSIP_Label_1a837f0f-bc33-47ca-8126-9d7bb0fbe56f_Name">
    <vt:lpwstr>All Employees and Partners</vt:lpwstr>
  </property>
  <property fmtid="{D5CDD505-2E9C-101B-9397-08002B2CF9AE}" pid="18" name="MSIP_Label_1a837f0f-bc33-47ca-8126-9d7bb0fbe56f_Application">
    <vt:lpwstr>Microsoft Azure Information Protection</vt:lpwstr>
  </property>
  <property fmtid="{D5CDD505-2E9C-101B-9397-08002B2CF9AE}" pid="19" name="MSIP_Label_1a837f0f-bc33-47ca-8126-9d7bb0fbe56f_ActionId">
    <vt:lpwstr>4453c80c-4163-45dd-b891-783b6277ff24</vt:lpwstr>
  </property>
  <property fmtid="{D5CDD505-2E9C-101B-9397-08002B2CF9AE}" pid="20" name="MSIP_Label_1a837f0f-bc33-47ca-8126-9d7bb0fbe56f_Parent">
    <vt:lpwstr>d8018b01-d6ca-4215-a70f-0f507ff65fa4</vt:lpwstr>
  </property>
  <property fmtid="{D5CDD505-2E9C-101B-9397-08002B2CF9AE}" pid="21" name="MSIP_Label_1a837f0f-bc33-47ca-8126-9d7bb0fbe56f_Extended_MSFT_Method">
    <vt:lpwstr>Automatic</vt:lpwstr>
  </property>
  <property fmtid="{D5CDD505-2E9C-101B-9397-08002B2CF9AE}" pid="22" name="Sensitivity">
    <vt:lpwstr>Internal (C3) All Employees and Partners</vt:lpwstr>
  </property>
</Properties>
</file>